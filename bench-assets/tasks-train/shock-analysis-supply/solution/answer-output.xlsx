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capital's share</t>
        </is>
      </c>
      <c r="B2" t="n">
        <v>0.35</v>
      </c>
      <c r="C2" t="inlineStr">
        <is>
          <t>&gt; standard capital share for small open economies</t>
        </is>
      </c>
    </row>
    <row r="3">
      <c r="A3" t="inlineStr">
        <is>
          <t>annual depreciation rate</t>
        </is>
      </c>
      <c r="B3">
        <f>AVERAGE('CFC data'!E22:E29)</f>
        <v>0.0140625</v>
      </c>
      <c r="C3" t="inlineStr">
        <is>
          <t>&gt; 8-year CFC-based depreciation average</t>
        </is>
      </c>
    </row>
    <row r="4">
      <c r="K4" t="inlineStr">
        <is>
          <t>HP Filter</t>
        </is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t="inlineStr">
        <is>
          <t>LnA-Trend(Check)</t>
        </is>
      </c>
      <c r="O5" t="inlineStr">
        <is>
          <t>objective</t>
        </is>
      </c>
      <c r="P5">
        <f>SUMXMY2(K6:K27,L6:L27)+100*SUMSQ(M6:M27)</f>
        <v>0.05013450818</v>
      </c>
    </row>
    <row r="6">
      <c r="C6" t="n">
        <v>2002</v>
      </c>
      <c r="D6">
        <f>PWT!C14</f>
        <v>19350000</v>
      </c>
      <c r="E6">
        <f>WEO_Data!C10*1000</f>
        <v>1490</v>
      </c>
      <c r="F6">
        <f>LN(D6)</f>
        <v>16.77820298</v>
      </c>
      <c r="G6">
        <f>LN(E6)</f>
        <v>7.306531399</v>
      </c>
      <c r="K6">
        <f>G6-$B$2*F6</f>
        <v>1.434160357</v>
      </c>
      <c r="L6" t="n">
        <v>1.522302222029612</v>
      </c>
      <c r="N6">
        <f>K6-L6</f>
        <v>-0.08814186519</v>
      </c>
    </row>
    <row r="7">
      <c r="C7" t="n">
        <v>2003</v>
      </c>
      <c r="D7">
        <f>PWT!C15</f>
        <v>19850000</v>
      </c>
      <c r="E7">
        <f>WEO_Data!C11*1000</f>
        <v>1700</v>
      </c>
      <c r="F7">
        <f>LN(D7)</f>
        <v>16.80371457</v>
      </c>
      <c r="G7">
        <f>LN(E7)</f>
        <v>7.43838353</v>
      </c>
      <c r="K7">
        <f>G7-$B$2*F7</f>
        <v>1.557083432</v>
      </c>
      <c r="L7" t="n">
        <v>1.590255042157168</v>
      </c>
      <c r="N7">
        <f>K7-L7</f>
        <v>-0.0331716099</v>
      </c>
    </row>
    <row r="8">
      <c r="C8" t="n">
        <v>2004</v>
      </c>
      <c r="D8">
        <f>PWT!C16</f>
        <v>20450000</v>
      </c>
      <c r="E8">
        <f>WEO_Data!C12*1000</f>
        <v>1890</v>
      </c>
      <c r="F8">
        <f>LN(D8)</f>
        <v>16.83349344</v>
      </c>
      <c r="G8">
        <f>LN(E8)</f>
        <v>7.544332108</v>
      </c>
      <c r="K8">
        <f>G8-$B$2*F8</f>
        <v>1.652609404</v>
      </c>
      <c r="L8" t="n">
        <v>1.657326443632785</v>
      </c>
      <c r="M8">
        <f>L8-2*L7+L6</f>
        <v>-0.0008814186519</v>
      </c>
      <c r="N8">
        <f>K8-L8</f>
        <v>-0.004717039738</v>
      </c>
    </row>
    <row r="9">
      <c r="C9" t="n">
        <v>2005</v>
      </c>
      <c r="D9">
        <f>PWT!C17</f>
        <v>21100000</v>
      </c>
      <c r="E9">
        <f>WEO_Data!C13*1000</f>
        <v>2160</v>
      </c>
      <c r="F9">
        <f>LN(D9)</f>
        <v>16.8647836</v>
      </c>
      <c r="G9">
        <f>LN(E9)</f>
        <v>7.677863501</v>
      </c>
      <c r="K9">
        <f>G9-$B$2*F9</f>
        <v>1.775189241</v>
      </c>
      <c r="L9" t="n">
        <v>1.72230329170555</v>
      </c>
      <c r="M9">
        <f>L9-2*L8+L7</f>
        <v>-0.002094553403</v>
      </c>
      <c r="N9">
        <f>K9-L9</f>
        <v>0.05288594952</v>
      </c>
    </row>
    <row r="10">
      <c r="C10" t="n">
        <v>2006</v>
      </c>
      <c r="D10">
        <f>PWT!C18</f>
        <v>21900000</v>
      </c>
      <c r="E10">
        <f>WEO_Data!C14*1000</f>
        <v>2320</v>
      </c>
      <c r="F10">
        <f>LN(D10)</f>
        <v>16.90199719</v>
      </c>
      <c r="G10">
        <f>LN(E10)</f>
        <v>7.749322465</v>
      </c>
      <c r="K10">
        <f>G10-$B$2*F10</f>
        <v>1.833623446</v>
      </c>
      <c r="L10" t="n">
        <v>1.783925281227176</v>
      </c>
      <c r="M10">
        <f>L10-2*L9+L8</f>
        <v>-0.003354858551</v>
      </c>
      <c r="N10">
        <f>K10-L10</f>
        <v>0.04969816526</v>
      </c>
    </row>
    <row r="11">
      <c r="C11" t="n">
        <v>2007</v>
      </c>
      <c r="D11">
        <f>PWT!C19</f>
        <v>22700000</v>
      </c>
      <c r="E11">
        <f>WEO_Data!C15*1000</f>
        <v>2560</v>
      </c>
      <c r="F11">
        <f>LN(D11)</f>
        <v>16.93787548</v>
      </c>
      <c r="G11">
        <f>LN(E11)</f>
        <v>7.847762537</v>
      </c>
      <c r="K11">
        <f>G11-$B$2*F11</f>
        <v>1.919506119</v>
      </c>
      <c r="L11" t="n">
        <v>1.841460966544542</v>
      </c>
      <c r="M11">
        <f>L11-2*L10+L9</f>
        <v>-0.004086304204</v>
      </c>
      <c r="N11">
        <f>K11-L11</f>
        <v>0.07804515207</v>
      </c>
    </row>
    <row r="12">
      <c r="C12" t="n">
        <v>2008</v>
      </c>
      <c r="D12">
        <f>PWT!C20</f>
        <v>23400000</v>
      </c>
      <c r="E12">
        <f>WEO_Data!C16*1000</f>
        <v>2730</v>
      </c>
      <c r="F12">
        <f>LN(D12)</f>
        <v>16.96824658</v>
      </c>
      <c r="G12">
        <f>LN(E12)</f>
        <v>7.912056888</v>
      </c>
      <c r="K12">
        <f>G12-$B$2*F12</f>
        <v>1.973170585</v>
      </c>
      <c r="L12" t="n">
        <v>1.894675883657103</v>
      </c>
      <c r="M12">
        <f>L12-2*L11+L10</f>
        <v>-0.004320768205</v>
      </c>
      <c r="N12">
        <f>K12-L12</f>
        <v>0.07849470141</v>
      </c>
    </row>
    <row r="13">
      <c r="C13" t="n">
        <v>2009</v>
      </c>
      <c r="D13">
        <f>PWT!C21</f>
        <v>23800000</v>
      </c>
      <c r="E13">
        <f>WEO_Data!C17*1000</f>
        <v>2620</v>
      </c>
      <c r="F13">
        <f>LN(D13)</f>
        <v>16.98519614</v>
      </c>
      <c r="G13">
        <f>LN(E13)</f>
        <v>7.870929597</v>
      </c>
      <c r="K13">
        <f>G13-$B$2*F13</f>
        <v>1.926110948</v>
      </c>
      <c r="L13" t="n">
        <v>1.944116020085026</v>
      </c>
      <c r="M13">
        <f>L13-2*L12+L11</f>
        <v>-0.003774780685</v>
      </c>
      <c r="N13">
        <f>K13-L13</f>
        <v>-0.01800507185</v>
      </c>
    </row>
    <row r="14">
      <c r="C14" t="n">
        <v>2010</v>
      </c>
      <c r="D14">
        <f>PWT!C22</f>
        <v>24000000</v>
      </c>
      <c r="E14">
        <f>WEO_Data!C18*1000</f>
        <v>2690</v>
      </c>
      <c r="F14">
        <f>LN(D14)</f>
        <v>16.99356439</v>
      </c>
      <c r="G14">
        <f>LN(E14)</f>
        <v>7.897296473</v>
      </c>
      <c r="K14">
        <f>G14-$B$2*F14</f>
        <v>1.949548937</v>
      </c>
      <c r="L14" t="n">
        <v>1.991112310362551</v>
      </c>
      <c r="M14">
        <f>L14-2*L13+L12</f>
        <v>-0.00244384615</v>
      </c>
      <c r="N14">
        <f>K14-L14</f>
        <v>-0.04156337368</v>
      </c>
    </row>
    <row r="15">
      <c r="C15" t="n">
        <v>2011</v>
      </c>
      <c r="D15">
        <f>PWT!C23</f>
        <v>24300000</v>
      </c>
      <c r="E15">
        <f>WEO_Data!C19*1000</f>
        <v>2810</v>
      </c>
      <c r="F15">
        <f>LN(D15)</f>
        <v>17.00598691</v>
      </c>
      <c r="G15">
        <f>LN(E15)</f>
        <v>7.940939762</v>
      </c>
      <c r="K15">
        <f>G15-$B$2*F15</f>
        <v>1.988844344</v>
      </c>
      <c r="L15" t="n">
        <v>2.036815638305372</v>
      </c>
      <c r="M15">
        <f>L15-2*L14+L13</f>
        <v>-0.001292962335</v>
      </c>
      <c r="N15">
        <f>K15-L15</f>
        <v>-0.04797129389</v>
      </c>
    </row>
    <row r="16">
      <c r="C16" t="n">
        <v>2012</v>
      </c>
      <c r="D16">
        <f>PWT!C24</f>
        <v>24700000</v>
      </c>
      <c r="E16">
        <f>WEO_Data!C20*1000</f>
        <v>3000</v>
      </c>
      <c r="F16">
        <f>LN(D16)</f>
        <v>17.0223138</v>
      </c>
      <c r="G16">
        <f>LN(E16)</f>
        <v>8.006367568</v>
      </c>
      <c r="K16">
        <f>G16-$B$2*F16</f>
        <v>2.048557737</v>
      </c>
      <c r="L16" t="n">
        <v>2.081961253992424</v>
      </c>
      <c r="M16">
        <f>L16-2*L15+L14</f>
        <v>-0.0005577122558</v>
      </c>
      <c r="N16">
        <f>K16-L16</f>
        <v>-0.0334035169</v>
      </c>
    </row>
    <row r="17">
      <c r="C17" t="n">
        <v>2013</v>
      </c>
      <c r="D17">
        <f>PWT!C25</f>
        <v>25200000</v>
      </c>
      <c r="E17">
        <f>WEO_Data!C21*1000</f>
        <v>3220</v>
      </c>
      <c r="F17">
        <f>LN(D17)</f>
        <v>17.04235455</v>
      </c>
      <c r="G17">
        <f>LN(E17)</f>
        <v>8.077136639</v>
      </c>
      <c r="K17">
        <f>G17-$B$2*F17</f>
        <v>2.112312545</v>
      </c>
      <c r="L17" t="n">
        <v>2.126804694563777</v>
      </c>
      <c r="M17">
        <f>L17-2*L16+L15</f>
        <v>-0.0003021751157</v>
      </c>
      <c r="N17">
        <f>K17-L17</f>
        <v>-0.01449214939</v>
      </c>
    </row>
    <row r="18">
      <c r="C18" t="n">
        <v>2014</v>
      </c>
      <c r="D18">
        <f>PWT!C26</f>
        <v>25800000</v>
      </c>
      <c r="E18">
        <f>WEO_Data!C22*1000</f>
        <v>3440</v>
      </c>
      <c r="F18">
        <f>LN(D18)</f>
        <v>17.06588505</v>
      </c>
      <c r="G18">
        <f>LN(E18)</f>
        <v>8.14322675</v>
      </c>
      <c r="K18">
        <f>G18-$B$2*F18</f>
        <v>2.170166983</v>
      </c>
      <c r="L18" t="n">
        <v>2.171267461990488</v>
      </c>
      <c r="M18">
        <f>L18-2*L17+L16</f>
        <v>-0.0003806731446</v>
      </c>
      <c r="N18">
        <f>K18-L18</f>
        <v>-0.001100479085</v>
      </c>
    </row>
    <row r="19">
      <c r="C19" t="n">
        <v>2015</v>
      </c>
      <c r="D19">
        <f>PWT!C27</f>
        <v>26500000</v>
      </c>
      <c r="E19">
        <f>WEO_Data!C23*1000</f>
        <v>3660</v>
      </c>
      <c r="F19">
        <f>LN(D19)</f>
        <v>17.09265529</v>
      </c>
      <c r="G19">
        <f>LN(E19)</f>
        <v>8.205218426</v>
      </c>
      <c r="K19">
        <f>G19-$B$2*F19</f>
        <v>2.222789075</v>
      </c>
      <c r="L19" t="n">
        <v>2.215126136749674</v>
      </c>
      <c r="M19">
        <f>L19-2*L18+L17</f>
        <v>-0.0006040926675</v>
      </c>
      <c r="N19">
        <f>K19-L19</f>
        <v>0.007662937811</v>
      </c>
    </row>
    <row r="20">
      <c r="C20" t="n">
        <v>2016</v>
      </c>
      <c r="D20">
        <f>PWT!C28</f>
        <v>27200000</v>
      </c>
      <c r="E20">
        <f>WEO_Data!C24*1000</f>
        <v>3880</v>
      </c>
      <c r="F20">
        <f>LN(D20)</f>
        <v>17.11872753</v>
      </c>
      <c r="G20">
        <f>LN(E20)</f>
        <v>8.263590433</v>
      </c>
      <c r="K20">
        <f>G20-$B$2*F20</f>
        <v>2.272035797</v>
      </c>
      <c r="L20" t="n">
        <v>2.258146294527601</v>
      </c>
      <c r="M20">
        <f>L20-2*L19+L18</f>
        <v>-0.0008385169813</v>
      </c>
      <c r="N20">
        <f>K20-L20</f>
        <v>0.01388950215</v>
      </c>
    </row>
    <row r="21">
      <c r="C21" t="n">
        <v>2017</v>
      </c>
      <c r="D21">
        <f>PWT!C29</f>
        <v>28000000</v>
      </c>
      <c r="E21">
        <f>WEO_Data!C25*1000</f>
        <v>4130</v>
      </c>
      <c r="F21">
        <f>LN(D21)</f>
        <v>17.14771507</v>
      </c>
      <c r="G21">
        <f>LN(E21)</f>
        <v>8.326032686</v>
      </c>
      <c r="K21">
        <f>G21-$B$2*F21</f>
        <v>2.324332412</v>
      </c>
      <c r="L21" t="n">
        <v>2.300170140388646</v>
      </c>
      <c r="M21">
        <f>L21-2*L20+L19</f>
        <v>-0.0009963119169</v>
      </c>
      <c r="N21">
        <f>K21-L21</f>
        <v>0.02416227172</v>
      </c>
    </row>
    <row r="22">
      <c r="C22" t="n">
        <v>2018</v>
      </c>
      <c r="D22">
        <f>PWT!C30</f>
        <v>28850000</v>
      </c>
      <c r="E22">
        <f>WEO_Data!C26*1000</f>
        <v>4340</v>
      </c>
      <c r="F22">
        <f>LN(D22)</f>
        <v>17.17762055</v>
      </c>
      <c r="G22">
        <f>LN(E22)</f>
        <v>8.375629627</v>
      </c>
      <c r="K22">
        <f>G22-$B$2*F22</f>
        <v>2.363462434</v>
      </c>
      <c r="L22" t="n">
        <v>2.341178774418649</v>
      </c>
      <c r="M22">
        <f>L22-2*L21+L20</f>
        <v>-0.001015211831</v>
      </c>
      <c r="N22">
        <f>K22-L22</f>
        <v>0.02228365985</v>
      </c>
    </row>
    <row r="23">
      <c r="C23" t="n">
        <v>2019</v>
      </c>
      <c r="D23">
        <f>PWT!C31</f>
        <v>29700000</v>
      </c>
      <c r="E23">
        <f>WEO_Data!C27*1000</f>
        <v>4620</v>
      </c>
      <c r="F23">
        <f>LN(D23)</f>
        <v>17.2066576</v>
      </c>
      <c r="G23">
        <f>LN(E23)</f>
        <v>8.438149984</v>
      </c>
      <c r="K23">
        <f>G23-$B$2*F23</f>
        <v>2.415819823</v>
      </c>
      <c r="L23" t="n">
        <v>2.381394919420631</v>
      </c>
      <c r="M23">
        <f>L23-2*L22+L21</f>
        <v>-0.000792489028</v>
      </c>
      <c r="N23">
        <f>K23-L23</f>
        <v>0.03442490333</v>
      </c>
    </row>
    <row r="24">
      <c r="C24" t="n">
        <v>2020</v>
      </c>
      <c r="D24">
        <f>PWT!C32</f>
        <v>30300000</v>
      </c>
      <c r="E24">
        <f>WEO_Data!C28*1000</f>
        <v>4300</v>
      </c>
      <c r="F24">
        <f>LN(D24)</f>
        <v>17.22665827</v>
      </c>
      <c r="G24">
        <f>LN(E24)</f>
        <v>8.366370302</v>
      </c>
      <c r="K24">
        <f>G24-$B$2*F24</f>
        <v>2.337039907</v>
      </c>
      <c r="L24" t="n">
        <v>2.42126413479615</v>
      </c>
      <c r="M24">
        <f>L24-2*L23+L22</f>
        <v>-0.0003469296265</v>
      </c>
      <c r="N24">
        <f>K24-L24</f>
        <v>-0.08422422778</v>
      </c>
    </row>
    <row r="25">
      <c r="C25" t="n">
        <v>2021</v>
      </c>
      <c r="D25">
        <f>PWT!C33</f>
        <v>31000000</v>
      </c>
      <c r="E25">
        <f>WEO_Data!C29*1000</f>
        <v>4830</v>
      </c>
      <c r="F25">
        <f>LN(D25)</f>
        <v>17.24949776</v>
      </c>
      <c r="G25">
        <f>LN(E25)</f>
        <v>8.482601747</v>
      </c>
      <c r="K25">
        <f>G25-$B$2*F25</f>
        <v>2.44527753</v>
      </c>
      <c r="L25" t="n">
        <v>2.461576228980117</v>
      </c>
      <c r="M25">
        <f>L25-2*L24+L23</f>
        <v>0.0004428788084</v>
      </c>
      <c r="N25">
        <f>K25-L25</f>
        <v>-0.01629869919</v>
      </c>
    </row>
    <row r="26">
      <c r="C26" t="n">
        <v>2022</v>
      </c>
      <c r="D26">
        <f>PWT!C34</f>
        <v>31800000</v>
      </c>
      <c r="E26">
        <f>WEO_Data!C30*1000</f>
        <v>5180</v>
      </c>
      <c r="F26">
        <f>LN(D26)</f>
        <v>17.27497685</v>
      </c>
      <c r="G26">
        <f>LN(E26)</f>
        <v>8.552560335</v>
      </c>
      <c r="K26">
        <f>G26-$B$2*F26</f>
        <v>2.506318439</v>
      </c>
      <c r="L26" t="n">
        <v>2.502278768129615</v>
      </c>
      <c r="M26">
        <f>L26-2*L25+L24</f>
        <v>0.0003904449655</v>
      </c>
      <c r="N26">
        <f>K26-L26</f>
        <v>0.004039670411</v>
      </c>
    </row>
    <row r="27">
      <c r="C27" t="n">
        <v>2023</v>
      </c>
      <c r="D27">
        <f>PWT!C35</f>
        <v>32650000</v>
      </c>
      <c r="E27">
        <f>WEO_Data!C31*1000</f>
        <v>5520</v>
      </c>
      <c r="F27">
        <f>LN(D27)</f>
        <v>17.30135541</v>
      </c>
      <c r="G27">
        <f>LN(E27)</f>
        <v>8.616133139</v>
      </c>
      <c r="K27">
        <f>G27-$B$2*F27</f>
        <v>2.560658744</v>
      </c>
      <c r="L27" t="n">
        <v>2.543156331409823</v>
      </c>
      <c r="M27">
        <f>L27-2*L26+L25</f>
        <v>0.0001750241307</v>
      </c>
      <c r="N27">
        <f>K27-L27</f>
        <v>0.01750241307</v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>12986.57718</v>
      </c>
      <c r="E36">
        <f>D6</f>
        <v>19350000</v>
      </c>
      <c r="F36">
        <f>WEO_Data!C10*1000</f>
        <v>1490</v>
      </c>
      <c r="G36">
        <f>L6</f>
        <v>1.522302222</v>
      </c>
      <c r="H36">
        <f>EXP(G36)*(E36^$B$2)</f>
        <v>1627.293142</v>
      </c>
      <c r="K36">
        <f>E36+J36</f>
        <v>19350000</v>
      </c>
      <c r="L36">
        <f>EXP(G36)*(K36^$B$2)</f>
        <v>1627.293142</v>
      </c>
      <c r="M36">
        <f>100*(L36/H36-1)</f>
        <v>0</v>
      </c>
      <c r="N36">
        <f>H36*(1+M36/100)</f>
        <v>1627.293142</v>
      </c>
    </row>
    <row r="37">
      <c r="C37" t="n">
        <v>2003</v>
      </c>
      <c r="D37">
        <f>E37/F37</f>
        <v>11676.47059</v>
      </c>
      <c r="E37">
        <f>D7</f>
        <v>19850000</v>
      </c>
      <c r="F37">
        <f>WEO_Data!C11*1000</f>
        <v>1700</v>
      </c>
      <c r="G37">
        <f>L7</f>
        <v>1.590255042</v>
      </c>
      <c r="H37">
        <f>EXP(G37)*(E37^$B$2)</f>
        <v>1757.337467</v>
      </c>
      <c r="J37">
        <f>(1-$B$3)*J36+I37</f>
        <v>0</v>
      </c>
      <c r="K37">
        <f>E37+J37</f>
        <v>19850000</v>
      </c>
      <c r="L37">
        <f>EXP(G37)*(K37^$B$2)</f>
        <v>1757.337467</v>
      </c>
      <c r="M37">
        <f>100*(L37/H37-1)</f>
        <v>0</v>
      </c>
      <c r="N37">
        <f>H37*(1+M37/100)</f>
        <v>1757.337467</v>
      </c>
      <c r="O37">
        <f>100*(N37/N36-1)</f>
        <v>7.991450483</v>
      </c>
      <c r="P37">
        <f>100*(F37/F36-1)</f>
        <v>14.09395973</v>
      </c>
    </row>
    <row r="38">
      <c r="C38" t="n">
        <v>2004</v>
      </c>
      <c r="D38">
        <f>E38/F38</f>
        <v>10820.10582</v>
      </c>
      <c r="E38">
        <f>D8</f>
        <v>20450000</v>
      </c>
      <c r="F38">
        <f>WEO_Data!C12*1000</f>
        <v>1890</v>
      </c>
      <c r="G38">
        <f>L8</f>
        <v>1.657326444</v>
      </c>
      <c r="H38">
        <f>EXP(G38)*(E38^$B$2)</f>
        <v>1898.936265</v>
      </c>
      <c r="J38">
        <f>(1-$B$3)*J37+I38</f>
        <v>0</v>
      </c>
      <c r="K38">
        <f>E38+J38</f>
        <v>20450000</v>
      </c>
      <c r="L38">
        <f>EXP(G38)*(K38^$B$2)</f>
        <v>1898.936265</v>
      </c>
      <c r="M38">
        <f>100*(L38/H38-1)</f>
        <v>0</v>
      </c>
      <c r="N38">
        <f>H38*(1+M38/100)</f>
        <v>1898.936265</v>
      </c>
      <c r="O38">
        <f>100*(N38/N37-1)</f>
        <v>8.057575747</v>
      </c>
      <c r="P38">
        <f>100*(F38/F37-1)</f>
        <v>11.17647059</v>
      </c>
    </row>
    <row r="39">
      <c r="C39" t="n">
        <v>2005</v>
      </c>
      <c r="D39">
        <f>E39/F39</f>
        <v>9768.518519</v>
      </c>
      <c r="E39">
        <f>D9</f>
        <v>21100000</v>
      </c>
      <c r="F39">
        <f>WEO_Data!C13*1000</f>
        <v>2160</v>
      </c>
      <c r="G39">
        <f>L9</f>
        <v>1.722303292</v>
      </c>
      <c r="H39">
        <f>EXP(G39)*(E39^$B$2)</f>
        <v>2048.734473</v>
      </c>
      <c r="J39">
        <f>(1-$B$3)*J38+I39</f>
        <v>0</v>
      </c>
      <c r="K39">
        <f>E39+J39</f>
        <v>21100000</v>
      </c>
      <c r="L39">
        <f>EXP(G39)*(K39^$B$2)</f>
        <v>2048.734473</v>
      </c>
      <c r="M39">
        <f>100*(L39/H39-1)</f>
        <v>0</v>
      </c>
      <c r="N39">
        <f>H39*(1+M39/100)</f>
        <v>2048.734473</v>
      </c>
      <c r="O39">
        <f>100*(N39/N38-1)</f>
        <v>7.888532684</v>
      </c>
      <c r="P39">
        <f>100*(F39/F38-1)</f>
        <v>14.28571429</v>
      </c>
    </row>
    <row r="40">
      <c r="C40" t="n">
        <v>2006</v>
      </c>
      <c r="D40">
        <f>E40/F40</f>
        <v>9439.655172</v>
      </c>
      <c r="E40">
        <f>D10</f>
        <v>21900000</v>
      </c>
      <c r="F40">
        <f>WEO_Data!C14*1000</f>
        <v>2320</v>
      </c>
      <c r="G40">
        <f>L10</f>
        <v>1.783925281</v>
      </c>
      <c r="H40">
        <f>EXP(G40)*(E40^$B$2)</f>
        <v>2207.51847</v>
      </c>
      <c r="J40">
        <f>(1-$B$3)*J39+I40</f>
        <v>0</v>
      </c>
      <c r="K40">
        <f>E40+J40</f>
        <v>21900000</v>
      </c>
      <c r="L40">
        <f>EXP(G40)*(K40^$B$2)</f>
        <v>2207.51847</v>
      </c>
      <c r="M40">
        <f>100*(L40/H40-1)</f>
        <v>0</v>
      </c>
      <c r="N40">
        <f>H40*(1+M40/100)</f>
        <v>2207.51847</v>
      </c>
      <c r="O40">
        <f>100*(N40/N39-1)</f>
        <v>7.750345366</v>
      </c>
      <c r="P40">
        <f>100*(F40/F39-1)</f>
        <v>7.407407407</v>
      </c>
    </row>
    <row r="41">
      <c r="C41" t="n">
        <v>2007</v>
      </c>
      <c r="D41">
        <f>E41/F41</f>
        <v>8867.1875</v>
      </c>
      <c r="E41">
        <f>D11</f>
        <v>22700000</v>
      </c>
      <c r="F41">
        <f>WEO_Data!C15*1000</f>
        <v>2560</v>
      </c>
      <c r="G41">
        <f>L11</f>
        <v>1.841460967</v>
      </c>
      <c r="H41">
        <f>EXP(G41)*(E41^$B$2)</f>
        <v>2367.802018</v>
      </c>
      <c r="J41">
        <f>(1-$B$3)*J40+I41</f>
        <v>0</v>
      </c>
      <c r="K41">
        <f>E41+J41</f>
        <v>22700000</v>
      </c>
      <c r="L41">
        <f>EXP(G41)*(K41^$B$2)</f>
        <v>2367.802018</v>
      </c>
      <c r="M41">
        <f>100*(L41/H41-1)</f>
        <v>0</v>
      </c>
      <c r="N41">
        <f>H41*(1+M41/100)</f>
        <v>2367.802018</v>
      </c>
      <c r="O41">
        <f>100*(N41/N40-1)</f>
        <v>7.26080214</v>
      </c>
      <c r="P41">
        <f>100*(F41/F40-1)</f>
        <v>10.34482759</v>
      </c>
    </row>
    <row r="42">
      <c r="C42" t="n">
        <v>2008</v>
      </c>
      <c r="D42">
        <f>E42/F42</f>
        <v>8571.428571</v>
      </c>
      <c r="E42">
        <f>D12</f>
        <v>23400000</v>
      </c>
      <c r="F42">
        <f>WEO_Data!C16*1000</f>
        <v>2730</v>
      </c>
      <c r="G42">
        <f>L12</f>
        <v>1.894675884</v>
      </c>
      <c r="H42">
        <f>EXP(G42)*(E42^$B$2)</f>
        <v>2523.903997</v>
      </c>
      <c r="J42">
        <f>(1-$B$3)*J41+I42</f>
        <v>0</v>
      </c>
      <c r="K42">
        <f>E42+J42</f>
        <v>23400000</v>
      </c>
      <c r="L42">
        <f>EXP(G42)*(K42^$B$2)</f>
        <v>2523.903997</v>
      </c>
      <c r="M42">
        <f>100*(L42/H42-1)</f>
        <v>0</v>
      </c>
      <c r="N42">
        <f>H42*(1+M42/100)</f>
        <v>2523.903997</v>
      </c>
      <c r="O42">
        <f>100*(N42/N41-1)</f>
        <v>6.592695552</v>
      </c>
      <c r="P42">
        <f>100*(F42/F41-1)</f>
        <v>6.640625</v>
      </c>
    </row>
    <row r="43">
      <c r="C43" t="n">
        <v>2009</v>
      </c>
      <c r="D43">
        <f>E43/F43</f>
        <v>9083.969466</v>
      </c>
      <c r="E43">
        <f>D13</f>
        <v>23800000</v>
      </c>
      <c r="F43">
        <f>WEO_Data!C17*1000</f>
        <v>2620</v>
      </c>
      <c r="G43">
        <f>L13</f>
        <v>1.94411602</v>
      </c>
      <c r="H43">
        <f>EXP(G43)*(E43^$B$2)</f>
        <v>2667.600528</v>
      </c>
      <c r="J43">
        <f>(1-$B$3)*J42+I43</f>
        <v>0</v>
      </c>
      <c r="K43">
        <f>E43+J43</f>
        <v>23800000</v>
      </c>
      <c r="L43">
        <f>EXP(G43)*(K43^$B$2)</f>
        <v>2667.600528</v>
      </c>
      <c r="M43">
        <f>100*(L43/H43-1)</f>
        <v>0</v>
      </c>
      <c r="N43">
        <f>H43*(1+M43/100)</f>
        <v>2667.600528</v>
      </c>
      <c r="O43">
        <f>100*(N43/N42-1)</f>
        <v>5.693423017</v>
      </c>
      <c r="P43">
        <f>100*(F43/F42-1)</f>
        <v>-4.029304029</v>
      </c>
    </row>
    <row r="44">
      <c r="C44" t="n">
        <v>2010</v>
      </c>
      <c r="D44">
        <f>E44/F44</f>
        <v>8921.933086</v>
      </c>
      <c r="E44">
        <f>D14</f>
        <v>24000000</v>
      </c>
      <c r="F44">
        <f>WEO_Data!C18*1000</f>
        <v>2690</v>
      </c>
      <c r="G44">
        <f>L14</f>
        <v>1.99111231</v>
      </c>
      <c r="H44">
        <f>EXP(G44)*(E44^$B$2)</f>
        <v>2804.16151</v>
      </c>
      <c r="J44">
        <f>(1-$B$3)*J43+I44</f>
        <v>0</v>
      </c>
      <c r="K44">
        <f>E44+J44</f>
        <v>24000000</v>
      </c>
      <c r="L44">
        <f>EXP(G44)*(K44^$B$2)</f>
        <v>2804.16151</v>
      </c>
      <c r="M44">
        <f>100*(L44/H44-1)</f>
        <v>0</v>
      </c>
      <c r="N44">
        <f>H44*(1+M44/100)</f>
        <v>2804.16151</v>
      </c>
      <c r="O44">
        <f>100*(N44/N43-1)</f>
        <v>5.119244076</v>
      </c>
      <c r="P44">
        <f>100*(F44/F43-1)</f>
        <v>2.671755725</v>
      </c>
    </row>
    <row r="45">
      <c r="C45" t="n">
        <v>2011</v>
      </c>
      <c r="D45">
        <f>E45/F45</f>
        <v>8647.686833</v>
      </c>
      <c r="E45">
        <f>D15</f>
        <v>24300000</v>
      </c>
      <c r="F45">
        <f>WEO_Data!C19*1000</f>
        <v>2810</v>
      </c>
      <c r="G45">
        <f>L15</f>
        <v>2.036815638</v>
      </c>
      <c r="H45">
        <f>EXP(G45)*(E45^$B$2)</f>
        <v>2948.084912</v>
      </c>
      <c r="J45">
        <f>(1-$B$3)*J44+I45</f>
        <v>0</v>
      </c>
      <c r="K45">
        <f>E45+J45</f>
        <v>24300000</v>
      </c>
      <c r="L45">
        <f>EXP(G45)*(K45^$B$2)</f>
        <v>2948.084912</v>
      </c>
      <c r="M45">
        <f>100*(L45/H45-1)</f>
        <v>0</v>
      </c>
      <c r="N45">
        <f>H45*(1+M45/100)</f>
        <v>2948.084912</v>
      </c>
      <c r="O45">
        <f>100*(N45/N44-1)</f>
        <v>5.132493329</v>
      </c>
      <c r="P45">
        <f>100*(F45/F44-1)</f>
        <v>4.460966543</v>
      </c>
    </row>
    <row r="46">
      <c r="C46" t="n">
        <v>2012</v>
      </c>
      <c r="D46">
        <f>E46/F46</f>
        <v>8233.333333</v>
      </c>
      <c r="E46">
        <f>D16</f>
        <v>24700000</v>
      </c>
      <c r="F46">
        <f>WEO_Data!C20*1000</f>
        <v>3000</v>
      </c>
      <c r="G46">
        <f>L16</f>
        <v>2.081961254</v>
      </c>
      <c r="H46">
        <f>EXP(G46)*(E46^$B$2)</f>
        <v>3101.903036</v>
      </c>
      <c r="J46">
        <f>(1-$B$3)*J45+I46</f>
        <v>0</v>
      </c>
      <c r="K46">
        <f>E46+J46</f>
        <v>24700000</v>
      </c>
      <c r="L46">
        <f>EXP(G46)*(K46^$B$2)</f>
        <v>3101.903036</v>
      </c>
      <c r="M46">
        <f>100*(L46/H46-1)</f>
        <v>0</v>
      </c>
      <c r="N46">
        <f>H46*(1+M46/100)</f>
        <v>3101.903036</v>
      </c>
      <c r="O46">
        <f>100*(N46/N45-1)</f>
        <v>5.217560821</v>
      </c>
      <c r="P46">
        <f>100*(F46/F45-1)</f>
        <v>6.761565836</v>
      </c>
    </row>
    <row r="47">
      <c r="C47" t="n">
        <v>2013</v>
      </c>
      <c r="D47">
        <f>E47/F47</f>
        <v>7826.086957</v>
      </c>
      <c r="E47">
        <f>D17</f>
        <v>25200000</v>
      </c>
      <c r="F47">
        <f>WEO_Data!C21*1000</f>
        <v>3220</v>
      </c>
      <c r="G47">
        <f>L17</f>
        <v>2.126804695</v>
      </c>
      <c r="H47">
        <f>EXP(G47)*(E47^$B$2)</f>
        <v>3267.004496</v>
      </c>
      <c r="J47">
        <f>(1-$B$3)*J46+I47</f>
        <v>0</v>
      </c>
      <c r="K47">
        <f>E47+J47</f>
        <v>25200000</v>
      </c>
      <c r="L47">
        <f>EXP(G47)*(K47^$B$2)</f>
        <v>3267.004496</v>
      </c>
      <c r="M47">
        <f>100*(L47/H47-1)</f>
        <v>0</v>
      </c>
      <c r="N47">
        <f>H47*(1+M47/100)</f>
        <v>3267.004496</v>
      </c>
      <c r="O47">
        <f>100*(N47/N46-1)</f>
        <v>5.322586137</v>
      </c>
      <c r="P47">
        <f>100*(F47/F46-1)</f>
        <v>7.333333333</v>
      </c>
    </row>
    <row r="48">
      <c r="C48" t="n">
        <v>2014</v>
      </c>
      <c r="D48">
        <f>E48/F48</f>
        <v>7500</v>
      </c>
      <c r="E48">
        <f>D18</f>
        <v>25800000</v>
      </c>
      <c r="F48">
        <f>WEO_Data!C22*1000</f>
        <v>3440</v>
      </c>
      <c r="G48">
        <f>L18</f>
        <v>2.171267462</v>
      </c>
      <c r="H48">
        <f>EXP(G48)*(E48^$B$2)</f>
        <v>3443.787732</v>
      </c>
      <c r="J48">
        <f>(1-$B$3)*J47+I48</f>
        <v>0</v>
      </c>
      <c r="K48">
        <f>E48+J48</f>
        <v>25800000</v>
      </c>
      <c r="L48">
        <f>EXP(G48)*(K48^$B$2)</f>
        <v>3443.787732</v>
      </c>
      <c r="M48">
        <f>100*(L48/H48-1)</f>
        <v>0</v>
      </c>
      <c r="N48">
        <f>H48*(1+M48/100)</f>
        <v>3443.787732</v>
      </c>
      <c r="O48">
        <f>100*(N48/N47-1)</f>
        <v>5.411172086</v>
      </c>
      <c r="P48">
        <f>100*(F48/F47-1)</f>
        <v>6.832298137</v>
      </c>
    </row>
    <row r="49">
      <c r="C49" t="n">
        <v>2015</v>
      </c>
      <c r="D49">
        <f>E49/F49</f>
        <v>7240.437158</v>
      </c>
      <c r="E49">
        <f>D19</f>
        <v>26500000</v>
      </c>
      <c r="F49">
        <f>WEO_Data!C23*1000</f>
        <v>3660</v>
      </c>
      <c r="G49">
        <f>L19</f>
        <v>2.215126137</v>
      </c>
      <c r="H49">
        <f>EXP(G49)*(E49^$B$2)</f>
        <v>3632.060832</v>
      </c>
      <c r="J49">
        <f>(1-$B$3)*J48+I49</f>
        <v>0</v>
      </c>
      <c r="K49">
        <f>E49+J49</f>
        <v>26500000</v>
      </c>
      <c r="L49">
        <f>EXP(G49)*(K49^$B$2)</f>
        <v>3632.060832</v>
      </c>
      <c r="M49">
        <f>100*(L49/H49-1)</f>
        <v>0</v>
      </c>
      <c r="N49">
        <f>H49*(1+M49/100)</f>
        <v>3632.060832</v>
      </c>
      <c r="O49">
        <f>100*(N49/N48-1)</f>
        <v>5.467035579</v>
      </c>
      <c r="P49">
        <f>100*(F49/F48-1)</f>
        <v>6.395348837</v>
      </c>
    </row>
    <row r="50">
      <c r="C50" t="n">
        <v>2016</v>
      </c>
      <c r="D50">
        <f>E50/F50</f>
        <v>7010.309278</v>
      </c>
      <c r="E50">
        <f>D20</f>
        <v>27200000</v>
      </c>
      <c r="F50">
        <f>WEO_Data!C24*1000</f>
        <v>3880</v>
      </c>
      <c r="G50">
        <f>L20</f>
        <v>2.258146295</v>
      </c>
      <c r="H50">
        <f>EXP(G50)*(E50^$B$2)</f>
        <v>3826.481266</v>
      </c>
      <c r="J50">
        <f>(1-$B$3)*J49+I50</f>
        <v>0</v>
      </c>
      <c r="K50">
        <f>E50+J50</f>
        <v>27200000</v>
      </c>
      <c r="L50">
        <f>EXP(G50)*(K50^$B$2)</f>
        <v>3826.481266</v>
      </c>
      <c r="M50">
        <f>100*(L50/H50-1)</f>
        <v>0</v>
      </c>
      <c r="N50">
        <f>H50*(1+M50/100)</f>
        <v>3826.481266</v>
      </c>
      <c r="O50">
        <f>100*(N50/N49-1)</f>
        <v>5.352895861</v>
      </c>
      <c r="P50">
        <f>100*(F50/F49-1)</f>
        <v>6.010928962</v>
      </c>
    </row>
    <row r="51">
      <c r="C51" t="n">
        <v>2017</v>
      </c>
      <c r="D51">
        <f>E51/F51</f>
        <v>6779.661017</v>
      </c>
      <c r="E51">
        <f>D21</f>
        <v>28000000</v>
      </c>
      <c r="F51">
        <f>WEO_Data!C25*1000</f>
        <v>4130</v>
      </c>
      <c r="G51">
        <f>L21</f>
        <v>2.30017014</v>
      </c>
      <c r="H51">
        <f>EXP(G51)*(E51^$B$2)</f>
        <v>4031.405745</v>
      </c>
      <c r="J51">
        <f>(1-$B$3)*J50+I51</f>
        <v>0</v>
      </c>
      <c r="K51">
        <f>E51+J51</f>
        <v>28000000</v>
      </c>
      <c r="L51">
        <f>EXP(G51)*(K51^$B$2)</f>
        <v>4031.405745</v>
      </c>
      <c r="M51">
        <f>100*(L51/H51-1)</f>
        <v>0</v>
      </c>
      <c r="N51">
        <f>H51*(1+M51/100)</f>
        <v>4031.405745</v>
      </c>
      <c r="O51">
        <f>100*(N51/N50-1)</f>
        <v>5.355428773</v>
      </c>
      <c r="P51">
        <f>100*(F51/F50-1)</f>
        <v>6.443298969</v>
      </c>
    </row>
    <row r="52">
      <c r="C52" t="n">
        <v>2018</v>
      </c>
      <c r="D52">
        <f>E52/F52</f>
        <v>6647.465438</v>
      </c>
      <c r="E52">
        <f>D22</f>
        <v>28850000</v>
      </c>
      <c r="F52">
        <f>WEO_Data!C26*1000</f>
        <v>4340</v>
      </c>
      <c r="G52">
        <f>L22</f>
        <v>2.341178774</v>
      </c>
      <c r="H52">
        <f>EXP(G52)*(E52^$B$2)</f>
        <v>4244.358495</v>
      </c>
      <c r="J52">
        <f>(1-$B$3)*J51+I52</f>
        <v>0</v>
      </c>
      <c r="K52">
        <f>E52+J52</f>
        <v>28850000</v>
      </c>
      <c r="L52">
        <f>EXP(G52)*(K52^$B$2)</f>
        <v>4244.358495</v>
      </c>
      <c r="M52">
        <f>100*(L52/H52-1)</f>
        <v>0</v>
      </c>
      <c r="N52">
        <f>H52*(1+M52/100)</f>
        <v>4244.358495</v>
      </c>
      <c r="O52">
        <f>100*(N52/N51-1)</f>
        <v>5.282344761</v>
      </c>
      <c r="P52">
        <f>100*(F52/F51-1)</f>
        <v>5.084745763</v>
      </c>
    </row>
    <row r="53">
      <c r="C53" t="n">
        <v>2019</v>
      </c>
      <c r="D53">
        <f>E53/F53</f>
        <v>6428.571429</v>
      </c>
      <c r="E53">
        <f>D23</f>
        <v>29700000</v>
      </c>
      <c r="F53">
        <f>WEO_Data!C27*1000</f>
        <v>4620</v>
      </c>
      <c r="G53">
        <f>L23</f>
        <v>2.381394919</v>
      </c>
      <c r="H53">
        <f>EXP(G53)*(E53^$B$2)</f>
        <v>4463.663323</v>
      </c>
      <c r="J53">
        <f>(1-$B$3)*J52+I53</f>
        <v>0</v>
      </c>
      <c r="K53">
        <f>E53+J53</f>
        <v>29700000</v>
      </c>
      <c r="L53">
        <f>EXP(G53)*(K53^$B$2)</f>
        <v>4463.663323</v>
      </c>
      <c r="M53">
        <f>100*(L53/H53-1)</f>
        <v>0</v>
      </c>
      <c r="N53">
        <f>H53*(1+M53/100)</f>
        <v>4463.663323</v>
      </c>
      <c r="O53">
        <f>100*(N53/N52-1)</f>
        <v>5.1669723</v>
      </c>
      <c r="P53">
        <f>100*(F53/F52-1)</f>
        <v>6.451612903</v>
      </c>
    </row>
    <row r="54">
      <c r="C54" t="n">
        <v>2020</v>
      </c>
      <c r="D54">
        <f>E54/F54</f>
        <v>7046.511628</v>
      </c>
      <c r="E54">
        <f>D24</f>
        <v>30300000</v>
      </c>
      <c r="F54">
        <f>WEO_Data!C28*1000</f>
        <v>4300</v>
      </c>
      <c r="G54">
        <f>L24</f>
        <v>2.421264135</v>
      </c>
      <c r="H54">
        <f>EXP(G54)*(E54^$B$2)</f>
        <v>4677.85303</v>
      </c>
      <c r="J54">
        <f>(1-$B$3)*J53+I54</f>
        <v>0</v>
      </c>
      <c r="K54">
        <f>E54+J54</f>
        <v>30300000</v>
      </c>
      <c r="L54">
        <f>EXP(G54)*(K54^$B$2)</f>
        <v>4677.85303</v>
      </c>
      <c r="M54">
        <f>100*(L54/H54-1)</f>
        <v>0</v>
      </c>
      <c r="N54">
        <f>H54*(1+M54/100)</f>
        <v>4677.85303</v>
      </c>
      <c r="O54">
        <f>100*(N54/N53-1)</f>
        <v>4.798518434</v>
      </c>
      <c r="P54">
        <f>100*(F54/F53-1)</f>
        <v>-6.926406926</v>
      </c>
    </row>
    <row r="55">
      <c r="C55" t="n">
        <v>2021</v>
      </c>
      <c r="D55">
        <f>E55/F55</f>
        <v>6418.219462</v>
      </c>
      <c r="E55">
        <f>D25</f>
        <v>31000000</v>
      </c>
      <c r="F55">
        <f>WEO_Data!C29*1000</f>
        <v>4830</v>
      </c>
      <c r="G55">
        <f>L25</f>
        <v>2.461576229</v>
      </c>
      <c r="H55">
        <f>EXP(G55)*(E55^$B$2)</f>
        <v>4909.367756</v>
      </c>
      <c r="J55">
        <f>(1-$B$3)*J54+I55</f>
        <v>0</v>
      </c>
      <c r="K55">
        <f>E55+J55</f>
        <v>31000000</v>
      </c>
      <c r="L55">
        <f>EXP(G55)*(K55^$B$2)</f>
        <v>4909.367756</v>
      </c>
      <c r="M55">
        <f>100*(L55/H55-1)</f>
        <v>0</v>
      </c>
      <c r="N55">
        <f>H55*(1+M55/100)</f>
        <v>4909.367756</v>
      </c>
      <c r="O55">
        <f>100*(N55/N54-1)</f>
        <v>4.94916629</v>
      </c>
      <c r="P55">
        <f>100*(F55/F54-1)</f>
        <v>12.3255814</v>
      </c>
    </row>
    <row r="56">
      <c r="C56" t="n">
        <v>2022</v>
      </c>
      <c r="D56">
        <f>E56/F56</f>
        <v>6138.996139</v>
      </c>
      <c r="E56">
        <f>D26</f>
        <v>31800000</v>
      </c>
      <c r="F56">
        <f>WEO_Data!C30*1000</f>
        <v>5180</v>
      </c>
      <c r="G56">
        <f>L26</f>
        <v>2.502278768</v>
      </c>
      <c r="H56">
        <f>EXP(G56)*(E56^$B$2)</f>
        <v>5159.116716</v>
      </c>
      <c r="J56">
        <f>(1-$B$3)*J55+I56</f>
        <v>0</v>
      </c>
      <c r="K56">
        <f>E56+J56</f>
        <v>31800000</v>
      </c>
      <c r="L56">
        <f>EXP(G56)*(K56^$B$2)</f>
        <v>5159.116716</v>
      </c>
      <c r="M56">
        <f>100*(L56/H56-1)</f>
        <v>0</v>
      </c>
      <c r="N56">
        <f>H56*(1+M56/100)</f>
        <v>5159.116716</v>
      </c>
      <c r="O56">
        <f>100*(N56/N55-1)</f>
        <v>5.08719194</v>
      </c>
      <c r="P56">
        <f>100*(F56/F55-1)</f>
        <v>7.246376812</v>
      </c>
    </row>
    <row r="57">
      <c r="C57" t="n">
        <v>2023</v>
      </c>
      <c r="D57">
        <f>E57/F57</f>
        <v>5914.855072</v>
      </c>
      <c r="E57">
        <f>D27</f>
        <v>32650000</v>
      </c>
      <c r="F57">
        <f>WEO_Data!C31*1000</f>
        <v>5520</v>
      </c>
      <c r="G57">
        <f>L27</f>
        <v>2.543156331</v>
      </c>
      <c r="H57">
        <f>EXP(G57)*(E57^$B$2)</f>
        <v>5424.227252</v>
      </c>
      <c r="J57">
        <f>(1-$B$3)*J56+I57</f>
        <v>0</v>
      </c>
      <c r="K57">
        <f>E57+J57</f>
        <v>32650000</v>
      </c>
      <c r="L57">
        <f>EXP(G57)*(K57^$B$2)</f>
        <v>5424.227252</v>
      </c>
      <c r="M57">
        <f>100*(L57/H57-1)</f>
        <v>0</v>
      </c>
      <c r="N57">
        <f>H57*(1+M57/100)</f>
        <v>5424.227252</v>
      </c>
      <c r="O57">
        <f>100*(N57/N56-1)</f>
        <v>5.138680707</v>
      </c>
      <c r="P57">
        <f>100*(F57/F56-1)</f>
        <v>6.563706564</v>
      </c>
    </row>
    <row r="58">
      <c r="C58" t="n">
        <v>2024</v>
      </c>
      <c r="E58">
        <f>F58*AVERAGE(D$49:D$57)</f>
        <v>39485017.63</v>
      </c>
      <c r="F58">
        <f>WEO_Data!C32*1000</f>
        <v>5960</v>
      </c>
      <c r="G58">
        <f t="array" ref="G58">TREND(L$6:L$27,C$6:C$27,C58)</f>
        <v>2.624177294</v>
      </c>
      <c r="H58">
        <f>EXP(G58)*(E58^$B$2)</f>
        <v>6286.617481</v>
      </c>
      <c r="J58">
        <f>(1-$B$3)*J57+I58</f>
        <v>0</v>
      </c>
      <c r="K58">
        <f>E58+J58</f>
        <v>39485017.63</v>
      </c>
      <c r="L58">
        <f>EXP(G58)*(K58^$B$2)</f>
        <v>6286.617481</v>
      </c>
      <c r="M58">
        <f>100*(L58/H58-1)</f>
        <v>0</v>
      </c>
      <c r="N58">
        <f>H58*(1+M58/100)</f>
        <v>6286.617481</v>
      </c>
      <c r="O58">
        <f>100*(N58/N57-1)</f>
        <v>15.89885876</v>
      </c>
      <c r="P58">
        <f>100*(F58/F57-1)</f>
        <v>7.971014493</v>
      </c>
    </row>
    <row r="59">
      <c r="C59" t="n">
        <v>2025</v>
      </c>
      <c r="E59">
        <f>F59*AVERAGE(D$49:D$57)</f>
        <v>41870018.69</v>
      </c>
      <c r="F59">
        <f>WEO_Data!C33*1000</f>
        <v>6320</v>
      </c>
      <c r="G59">
        <f t="array" ref="G59">TREND(L$6:L$27,C$6:C$27,C59)</f>
        <v>2.671383943</v>
      </c>
      <c r="H59">
        <f>EXP(G59)*(E59^$B$2)</f>
        <v>6727.185596</v>
      </c>
      <c r="J59">
        <f>(1-$B$3)*J58+I59</f>
        <v>0</v>
      </c>
      <c r="K59">
        <f>E59+J59</f>
        <v>41870018.69</v>
      </c>
      <c r="L59">
        <f>EXP(G59)*(K59^$B$2)</f>
        <v>6727.185596</v>
      </c>
      <c r="M59">
        <f>100*(L59/H59-1)</f>
        <v>0</v>
      </c>
      <c r="N59">
        <f>H59*(1+M59/100)</f>
        <v>6727.185596</v>
      </c>
      <c r="O59">
        <f>100*(N59/N58-1)</f>
        <v>7.008031197</v>
      </c>
      <c r="P59">
        <f>100*(F59/F58-1)</f>
        <v>6.040268456</v>
      </c>
    </row>
    <row r="60">
      <c r="C60" t="n">
        <v>2026</v>
      </c>
      <c r="E60">
        <f>F60*AVERAGE(D$49:D$57)</f>
        <v>44387519.82</v>
      </c>
      <c r="F60">
        <f>WEO_Data!C34*1000</f>
        <v>6700</v>
      </c>
      <c r="G60">
        <f t="array" ref="G60">TREND(L$6:L$27,C$6:C$27,C60)</f>
        <v>2.718590592</v>
      </c>
      <c r="H60">
        <f>EXP(G60)*(E60^$B$2)</f>
        <v>7197.972785</v>
      </c>
      <c r="I60">
        <f>Investment!C2</f>
        <v>176050</v>
      </c>
      <c r="J60">
        <f>(1-$B$3)*J59+I60</f>
        <v>176050</v>
      </c>
      <c r="K60">
        <f>E60+J60</f>
        <v>44563569.82</v>
      </c>
      <c r="L60">
        <f>EXP(G60)*(K60^$B$2)</f>
        <v>7207.951956</v>
      </c>
      <c r="M60">
        <f>100*(L60/H60-1)</f>
        <v>0.1386386243</v>
      </c>
      <c r="N60">
        <f>H60*(1+M60/100)</f>
        <v>7207.951956</v>
      </c>
      <c r="O60">
        <f>100*(N60/N59-1)</f>
        <v>7.14661954</v>
      </c>
      <c r="P60">
        <f>100*(F60/F59-1)</f>
        <v>6.012658228</v>
      </c>
    </row>
    <row r="61">
      <c r="C61" t="n">
        <v>2027</v>
      </c>
      <c r="E61">
        <f>F61*AVERAGE(D$49:D$57)</f>
        <v>47037521</v>
      </c>
      <c r="F61">
        <f>WEO_Data!C35*1000</f>
        <v>7100</v>
      </c>
      <c r="G61">
        <f t="array" ref="G61">TREND(L$6:L$27,C$6:C$27,C61)</f>
        <v>2.765797241</v>
      </c>
      <c r="H61">
        <f>EXP(G61)*(E61^$B$2)</f>
        <v>7700.625952</v>
      </c>
      <c r="I61">
        <f>Investment!C3</f>
        <v>251500</v>
      </c>
      <c r="J61">
        <f>(1-$B$3)*J60+I61</f>
        <v>425074.2969</v>
      </c>
      <c r="K61">
        <f>E61+J61</f>
        <v>47462595.3</v>
      </c>
      <c r="L61">
        <f>EXP(G61)*(K61^$B$2)</f>
        <v>7724.911249</v>
      </c>
      <c r="M61">
        <f>100*(L61/H61-1)</f>
        <v>0.3153678269</v>
      </c>
      <c r="N61">
        <f>H61*(1+M61/100)</f>
        <v>7724.911249</v>
      </c>
      <c r="O61">
        <f>100*(N61/N60-1)</f>
        <v>7.172069076</v>
      </c>
      <c r="P61">
        <f>100*(F61/F60-1)</f>
        <v>5.970149254</v>
      </c>
    </row>
    <row r="62">
      <c r="C62" t="n">
        <v>2028</v>
      </c>
      <c r="E62">
        <f>F62*AVERAGE(D$49:D$57)</f>
        <v>49859772.26</v>
      </c>
      <c r="F62">
        <f>WEO_Data!C36*1000</f>
        <v>7526</v>
      </c>
      <c r="G62">
        <f t="array" ref="G62">TREND(L$6:L$27,C$6:C$27,C62)</f>
        <v>2.81300389</v>
      </c>
      <c r="H62">
        <f>EXP(G62)*(E62^$B$2)</f>
        <v>8239.192858</v>
      </c>
      <c r="I62">
        <f>Investment!C4</f>
        <v>326950</v>
      </c>
      <c r="J62">
        <f>(1-$B$3)*J61+I62</f>
        <v>746046.6896</v>
      </c>
      <c r="K62">
        <f>E62+J62</f>
        <v>50605818.95</v>
      </c>
      <c r="L62">
        <f>EXP(G62)*(K62^$B$2)</f>
        <v>8282.133509</v>
      </c>
      <c r="M62">
        <f>100*(L62/H62-1)</f>
        <v>0.5211754555</v>
      </c>
      <c r="N62">
        <f>H62*(1+M62/100)</f>
        <v>8282.133509</v>
      </c>
      <c r="O62">
        <f>100*(N62/N61-1)</f>
        <v>7.21331601</v>
      </c>
      <c r="P62">
        <f>100*(F62/F61-1)</f>
        <v>6</v>
      </c>
    </row>
    <row r="63">
      <c r="C63" t="n">
        <v>2029</v>
      </c>
      <c r="E63">
        <f>F63*AVERAGE(D$49:D$57)</f>
        <v>52851358.6</v>
      </c>
      <c r="F63">
        <f>WEO_Data!C37*1000</f>
        <v>7977.56</v>
      </c>
      <c r="G63">
        <f t="array" ref="G63">TREND(L$6:L$27,C$6:C$27,C63)</f>
        <v>2.860210539</v>
      </c>
      <c r="H63">
        <f>EXP(G63)*(E63^$B$2)</f>
        <v>8815.426093</v>
      </c>
      <c r="I63">
        <f>Investment!C5</f>
        <v>402400</v>
      </c>
      <c r="J63">
        <f>(1-$B$3)*J62+I63</f>
        <v>1137955.408</v>
      </c>
      <c r="K63">
        <f>E63+J63</f>
        <v>53989314</v>
      </c>
      <c r="L63">
        <f>EXP(G63)*(K63^$B$2)</f>
        <v>8881.399126</v>
      </c>
      <c r="M63">
        <f>100*(L63/H63-1)</f>
        <v>0.7483816658</v>
      </c>
      <c r="N63">
        <f>H63*(1+M63/100)</f>
        <v>8881.399126</v>
      </c>
      <c r="O63">
        <f>100*(N63/N62-1)</f>
        <v>7.235643038</v>
      </c>
      <c r="P63">
        <f>100*(F63/F62-1)</f>
        <v>6</v>
      </c>
    </row>
    <row r="64">
      <c r="C64" t="n">
        <v>2030</v>
      </c>
      <c r="E64">
        <f>F64*AVERAGE(D$49:D$57)</f>
        <v>56022440.11</v>
      </c>
      <c r="F64">
        <f>WEO_Data!C38*1000</f>
        <v>8456.2136</v>
      </c>
      <c r="G64">
        <f t="array" ref="G64">TREND(L$6:L$27,C$6:C$27,C64)</f>
        <v>2.907417188</v>
      </c>
      <c r="H64">
        <f>EXP(G64)*(E64^$B$2)</f>
        <v>9431.959967</v>
      </c>
      <c r="I64">
        <f>Investment!C6</f>
        <v>427550</v>
      </c>
      <c r="J64">
        <f>(1-$B$3)*J63+I64</f>
        <v>1549502.91</v>
      </c>
      <c r="K64">
        <f>E64+J64</f>
        <v>57571943.02</v>
      </c>
      <c r="L64">
        <f>EXP(G64)*(K64^$B$2)</f>
        <v>9522.457693</v>
      </c>
      <c r="M64">
        <f>100*(L64/H64-1)</f>
        <v>0.9594795406</v>
      </c>
      <c r="N64">
        <f>H64*(1+M64/100)</f>
        <v>9522.457693</v>
      </c>
      <c r="O64">
        <f>100*(N64/N63-1)</f>
        <v>7.217990756</v>
      </c>
      <c r="P64">
        <f>100*(F64/F63-1)</f>
        <v>6</v>
      </c>
    </row>
    <row r="65">
      <c r="C65" t="n">
        <v>2031</v>
      </c>
      <c r="E65">
        <f>F65*AVERAGE(D$49:D$57)</f>
        <v>59383786.52</v>
      </c>
      <c r="F65">
        <f>WEO_Data!C39*1000</f>
        <v>8963.586416</v>
      </c>
      <c r="G65">
        <f t="array" ref="G65">TREND(L$6:L$27,C$6:C$27,C65)</f>
        <v>2.954623837</v>
      </c>
      <c r="H65">
        <f>EXP(G65)*(E65^$B$2)</f>
        <v>10091.61303</v>
      </c>
      <c r="I65">
        <f>Investment!C7</f>
        <v>377250</v>
      </c>
      <c r="J65">
        <f>(1-$B$3)*J64+I65</f>
        <v>1904963.025</v>
      </c>
      <c r="K65">
        <f>E65+J65</f>
        <v>61288749.54</v>
      </c>
      <c r="L65">
        <f>EXP(G65)*(K65^$B$2)</f>
        <v>10203.7567</v>
      </c>
      <c r="M65">
        <f>100*(L65/H65-1)</f>
        <v>1.111256191</v>
      </c>
      <c r="N65">
        <f>H65*(1+M65/100)</f>
        <v>10203.7567</v>
      </c>
      <c r="O65">
        <f>100*(N65/N64-1)</f>
        <v>7.154655165</v>
      </c>
      <c r="P65">
        <f>100*(F65/F64-1)</f>
        <v>6</v>
      </c>
    </row>
    <row r="66">
      <c r="C66" t="n">
        <v>2032</v>
      </c>
      <c r="E66">
        <f>F66*AVERAGE(D$49:D$57)</f>
        <v>62946813.71</v>
      </c>
      <c r="F66">
        <f>WEO_Data!C40*1000</f>
        <v>9501.401601</v>
      </c>
      <c r="G66">
        <f t="array" ref="G66">TREND(L$6:L$27,C$6:C$27,C66)</f>
        <v>3.001830486</v>
      </c>
      <c r="H66">
        <f>EXP(G66)*(E66^$B$2)</f>
        <v>10797.40095</v>
      </c>
      <c r="I66">
        <f>Investment!C8</f>
        <v>301800</v>
      </c>
      <c r="J66">
        <f>(1-$B$3)*J65+I66</f>
        <v>2179974.483</v>
      </c>
      <c r="K66">
        <f>E66+J66</f>
        <v>65126788.19</v>
      </c>
      <c r="L66">
        <f>EXP(G66)*(K66^$B$2)</f>
        <v>10926.83279</v>
      </c>
      <c r="M66">
        <f>100*(L66/H66-1)</f>
        <v>1.198731388</v>
      </c>
      <c r="N66">
        <f>H66*(1+M66/100)</f>
        <v>10926.83279</v>
      </c>
      <c r="O66">
        <f>100*(N66/N65-1)</f>
        <v>7.08637127</v>
      </c>
      <c r="P66">
        <f>100*(F66/F65-1)</f>
        <v>6</v>
      </c>
    </row>
    <row r="67">
      <c r="C67" t="n">
        <v>2033</v>
      </c>
      <c r="E67">
        <f>F67*AVERAGE(D$49:D$57)</f>
        <v>66723622.53</v>
      </c>
      <c r="F67">
        <f>WEO_Data!C41*1000</f>
        <v>10071.4857</v>
      </c>
      <c r="G67">
        <f t="array" ref="G67">TREND(L$6:L$27,C$6:C$27,C67)</f>
        <v>3.049037135</v>
      </c>
      <c r="H67">
        <f>EXP(G67)*(E67^$B$2)</f>
        <v>11552.55032</v>
      </c>
      <c r="I67">
        <f>Investment!C9</f>
        <v>251500</v>
      </c>
      <c r="J67">
        <f>(1-$B$3)*J66+I67</f>
        <v>2400818.592</v>
      </c>
      <c r="K67">
        <f>E67+J67</f>
        <v>69124441.12</v>
      </c>
      <c r="L67">
        <f>EXP(G67)*(K67^$B$2)</f>
        <v>11696.36937</v>
      </c>
      <c r="M67">
        <f>100*(L67/H67-1)</f>
        <v>1.244911636</v>
      </c>
      <c r="N67">
        <f>H67*(1+M67/100)</f>
        <v>11696.36937</v>
      </c>
      <c r="O67">
        <f>100*(N67/N66-1)</f>
        <v>7.042631583</v>
      </c>
      <c r="P67">
        <f>100*(F67/F66-1)</f>
        <v>6</v>
      </c>
    </row>
    <row r="68">
      <c r="C68" t="n">
        <v>2034</v>
      </c>
      <c r="E68">
        <f>F68*AVERAGE(D$49:D$57)</f>
        <v>70727039.89</v>
      </c>
      <c r="F68">
        <f>WEO_Data!C42*1000</f>
        <v>10675.77484</v>
      </c>
      <c r="G68">
        <f t="array" ref="G68">TREND(L$6:L$27,C$6:C$27,C68)</f>
        <v>3.096243785</v>
      </c>
      <c r="H68">
        <f>EXP(G68)*(E68^$B$2)</f>
        <v>12360.51338</v>
      </c>
      <c r="J68">
        <f>(1-$B$3)*J67+I68</f>
        <v>2367057.08</v>
      </c>
      <c r="K68">
        <f>E68+J68</f>
        <v>73094096.97</v>
      </c>
      <c r="L68">
        <f>EXP(G68)*(K68^$B$2)</f>
        <v>12503.75332</v>
      </c>
      <c r="M68">
        <f>100*(L68/H68-1)</f>
        <v>1.158851048</v>
      </c>
      <c r="N68">
        <f>H68*(1+M68/100)</f>
        <v>12503.75332</v>
      </c>
      <c r="O68">
        <f>100*(N68/N67-1)</f>
        <v>6.902859569</v>
      </c>
      <c r="P68">
        <f>100*(F68/F67-1)</f>
        <v>6</v>
      </c>
    </row>
    <row r="69">
      <c r="C69" t="n">
        <v>2035</v>
      </c>
      <c r="E69">
        <f>F69*AVERAGE(D$49:D$57)</f>
        <v>74970662.28</v>
      </c>
      <c r="F69">
        <f>WEO_Data!C43*1000</f>
        <v>11316.32133</v>
      </c>
      <c r="G69">
        <f t="array" ref="G69">TREND(L$6:L$27,C$6:C$27,C69)</f>
        <v>3.143450434</v>
      </c>
      <c r="H69">
        <f>EXP(G69)*(E69^$B$2)</f>
        <v>13224.98381</v>
      </c>
      <c r="J69">
        <f>(1-$B$3)*J68+I69</f>
        <v>2333770.34</v>
      </c>
      <c r="K69">
        <f>E69+J69</f>
        <v>77304432.62</v>
      </c>
      <c r="L69">
        <f>EXP(G69)*(K69^$B$2)</f>
        <v>13367.63924</v>
      </c>
      <c r="M69">
        <f>100*(L69/H69-1)</f>
        <v>1.078681302</v>
      </c>
      <c r="N69">
        <f>H69*(1+M69/100)</f>
        <v>13367.63924</v>
      </c>
      <c r="O69">
        <f>100*(N69/N68-1)</f>
        <v>6.909012829</v>
      </c>
      <c r="P69">
        <f>100*(F69/F68-1)</f>
        <v>6</v>
      </c>
    </row>
    <row r="70">
      <c r="C70" t="n">
        <v>2036</v>
      </c>
      <c r="E70">
        <f>F70*AVERAGE(D$49:D$57)</f>
        <v>79468902.02</v>
      </c>
      <c r="F70">
        <f>WEO_Data!C44*1000</f>
        <v>11995.30061</v>
      </c>
      <c r="G70">
        <f t="array" ref="G70">TREND(L$6:L$27,C$6:C$27,C70)</f>
        <v>3.190657083</v>
      </c>
      <c r="H70">
        <f>EXP(G70)*(E70^$B$2)</f>
        <v>14149.91363</v>
      </c>
      <c r="J70">
        <f>(1-$B$3)*J69+I70</f>
        <v>2300951.695</v>
      </c>
      <c r="K70">
        <f>E70+J70</f>
        <v>81769853.71</v>
      </c>
      <c r="L70">
        <f>EXP(G70)*(K70^$B$2)</f>
        <v>14291.97974</v>
      </c>
      <c r="M70">
        <f>100*(L70/H70-1)</f>
        <v>1.004006892</v>
      </c>
      <c r="N70">
        <f>H70*(1+M70/100)</f>
        <v>14291.97974</v>
      </c>
      <c r="O70">
        <f>100*(N70/N69-1)</f>
        <v>6.914762497</v>
      </c>
      <c r="P70">
        <f>100*(F70/F69-1)</f>
        <v>6</v>
      </c>
    </row>
    <row r="71">
      <c r="C71" t="n">
        <v>2037</v>
      </c>
      <c r="E71">
        <f>F71*AVERAGE(D$49:D$57)</f>
        <v>84237036.14</v>
      </c>
      <c r="F71">
        <f>WEO_Data!C45*1000</f>
        <v>12715.01865</v>
      </c>
      <c r="G71">
        <f t="array" ref="G71">TREND(L$6:L$27,C$6:C$27,C71)</f>
        <v>3.237863732</v>
      </c>
      <c r="H71">
        <f>EXP(G71)*(E71^$B$2)</f>
        <v>15139.53126</v>
      </c>
      <c r="J71">
        <f>(1-$B$3)*J70+I71</f>
        <v>2268594.561</v>
      </c>
      <c r="K71">
        <f>E71+J71</f>
        <v>86505630.7</v>
      </c>
      <c r="L71">
        <f>EXP(G71)*(K71^$B$2)</f>
        <v>15281.0038</v>
      </c>
      <c r="M71">
        <f>100*(L71/H71-1)</f>
        <v>0.9344578506</v>
      </c>
      <c r="N71">
        <f>H71*(1+M71/100)</f>
        <v>15281.0038</v>
      </c>
      <c r="O71">
        <f>100*(N71/N70-1)</f>
        <v>6.920133375</v>
      </c>
      <c r="P71">
        <f>100*(F71/F70-1)</f>
        <v>6</v>
      </c>
    </row>
    <row r="72">
      <c r="C72" t="n">
        <v>2038</v>
      </c>
      <c r="E72">
        <f>F72*AVERAGE(D$49:D$57)</f>
        <v>89291258.3</v>
      </c>
      <c r="F72">
        <f>WEO_Data!C46*1000</f>
        <v>13477.91976</v>
      </c>
      <c r="G72">
        <f t="array" ref="G72">TREND(L$6:L$27,C$6:C$27,C72)</f>
        <v>3.285070381</v>
      </c>
      <c r="H72">
        <f>EXP(G72)*(E72^$B$2)</f>
        <v>16198.36084</v>
      </c>
      <c r="J72">
        <f>(1-$B$3)*J71+I72</f>
        <v>2236692.45</v>
      </c>
      <c r="K72">
        <f>E72+J72</f>
        <v>91527950.75</v>
      </c>
      <c r="L72">
        <f>EXP(G72)*(K72^$B$2)</f>
        <v>16339.23608</v>
      </c>
      <c r="M72">
        <f>100*(L72/H72-1)</f>
        <v>0.8696882347</v>
      </c>
      <c r="N72">
        <f>H72*(1+M72/100)</f>
        <v>16339.23608</v>
      </c>
      <c r="O72">
        <f>100*(N72/N71-1)</f>
        <v>6.925148956</v>
      </c>
      <c r="P72">
        <f>100*(F72/F71-1)</f>
        <v>6</v>
      </c>
    </row>
    <row r="73">
      <c r="C73" t="n">
        <v>2039</v>
      </c>
      <c r="E73">
        <f>F73*AVERAGE(D$49:D$57)</f>
        <v>94648733.8</v>
      </c>
      <c r="F73">
        <f>WEO_Data!C47*1000</f>
        <v>14286.59495</v>
      </c>
      <c r="G73">
        <f t="array" ref="G73">TREND(L$6:L$27,C$6:C$27,C73)</f>
        <v>3.33227703</v>
      </c>
      <c r="H73">
        <f>EXP(G73)*(E73^$B$2)</f>
        <v>17331.24291</v>
      </c>
      <c r="J73">
        <f>(1-$B$3)*J72+I73</f>
        <v>2205238.963</v>
      </c>
      <c r="K73">
        <f>E73+J73</f>
        <v>96853972.77</v>
      </c>
      <c r="L73">
        <f>EXP(G73)*(K73^$B$2)</f>
        <v>17471.5176</v>
      </c>
      <c r="M73">
        <f>100*(L73/H73-1)</f>
        <v>0.8093746814</v>
      </c>
      <c r="N73">
        <f>H73*(1+M73/100)</f>
        <v>17471.5176</v>
      </c>
      <c r="O73">
        <f>100*(N73/N72-1)</f>
        <v>6.929831474</v>
      </c>
      <c r="P73">
        <f>100*(F73/F72-1)</f>
        <v>6</v>
      </c>
    </row>
    <row r="74">
      <c r="C74" t="n">
        <v>2040</v>
      </c>
      <c r="E74">
        <f>F74*AVERAGE(D$49:D$57)</f>
        <v>100327657.8</v>
      </c>
      <c r="F74">
        <f>WEO_Data!C48*1000</f>
        <v>15143.79065</v>
      </c>
      <c r="G74">
        <f t="array" ref="G74">TREND(L$6:L$27,C$6:C$27,C74)</f>
        <v>3.379483679</v>
      </c>
      <c r="H74">
        <f>EXP(G74)*(E74^$B$2)</f>
        <v>18543.35657</v>
      </c>
      <c r="J74">
        <f>(1-$B$3)*J73+I74</f>
        <v>2174227.79</v>
      </c>
      <c r="K74">
        <f>E74+J74</f>
        <v>102501885.6</v>
      </c>
      <c r="L74">
        <f>EXP(G74)*(K74^$B$2)</f>
        <v>18683.02791</v>
      </c>
      <c r="M74">
        <f>100*(L74/H74-1)</f>
        <v>0.7532150348</v>
      </c>
      <c r="N74">
        <f>H74*(1+M74/100)</f>
        <v>18683.02791</v>
      </c>
      <c r="O74">
        <f>100*(N74/N73-1)</f>
        <v>6.934201938</v>
      </c>
      <c r="P74">
        <f>100*(F74/F73-1)</f>
        <v>6</v>
      </c>
    </row>
    <row r="75">
      <c r="C75" t="n">
        <v>2041</v>
      </c>
      <c r="E75">
        <f>F75*AVERAGE(D$49:D$57)</f>
        <v>106347317.3</v>
      </c>
      <c r="F75">
        <f>WEO_Data!C49*1000</f>
        <v>16052.41809</v>
      </c>
      <c r="G75">
        <f t="array" ref="G75">TREND(L$6:L$27,C$6:C$27,C75)</f>
        <v>3.426690328</v>
      </c>
      <c r="H75">
        <f>EXP(G75)*(E75^$B$2)</f>
        <v>19840.24311</v>
      </c>
      <c r="J75">
        <f>(1-$B$3)*J74+I75</f>
        <v>2143652.712</v>
      </c>
      <c r="K75">
        <f>E75+J75</f>
        <v>108490970</v>
      </c>
      <c r="L75">
        <f>EXP(G75)*(K75^$B$2)</f>
        <v>19979.30874</v>
      </c>
      <c r="M75">
        <f>100*(L75/H75-1)</f>
        <v>0.7009270439</v>
      </c>
      <c r="N75">
        <f>H75*(1+M75/100)</f>
        <v>19979.30874</v>
      </c>
      <c r="O75">
        <f>100*(N75/N74-1)</f>
        <v>6.938280178</v>
      </c>
      <c r="P75">
        <f>100*(F75/F74-1)</f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Project Investment (Deflated)</t>
        </is>
      </c>
    </row>
    <row r="2">
      <c r="B2" t="n">
        <v>2026</v>
      </c>
      <c r="C2" t="n">
        <v>176050</v>
      </c>
    </row>
    <row r="3">
      <c r="B3" t="n">
        <v>2027</v>
      </c>
      <c r="C3" t="n">
        <v>251500</v>
      </c>
    </row>
    <row r="4">
      <c r="B4" t="n">
        <v>2028</v>
      </c>
      <c r="C4" t="n">
        <v>326950</v>
      </c>
    </row>
    <row r="5">
      <c r="B5" t="n">
        <v>2029</v>
      </c>
      <c r="C5" t="n">
        <v>402400</v>
      </c>
    </row>
    <row r="6">
      <c r="B6" t="n">
        <v>2030</v>
      </c>
      <c r="C6" t="n">
        <v>427550</v>
      </c>
    </row>
    <row r="7">
      <c r="B7" t="n">
        <v>2031</v>
      </c>
      <c r="C7" t="n">
        <v>377250</v>
      </c>
    </row>
    <row r="8">
      <c r="B8" t="n">
        <v>2032</v>
      </c>
      <c r="C8" t="n">
        <v>301800</v>
      </c>
    </row>
    <row r="9">
      <c r="B9" t="n">
        <v>2033</v>
      </c>
      <c r="C9" t="n">
        <v>251500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(IDCM.A.N.AM.W2.S1.S1.D.P51C.N1G._T._Z.XDC.V.N)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" t="n">
        <v>35430</v>
      </c>
      <c r="B2" t="n">
        <v>1996</v>
      </c>
      <c r="C2" t="n">
        <v>403700000000</v>
      </c>
      <c r="D2">
        <f>PWT!C8</f>
        <v>18350000</v>
      </c>
      <c r="E2">
        <f>C2/1000000/D2</f>
        <v>0.022</v>
      </c>
    </row>
    <row r="3">
      <c r="A3" s="1" t="n">
        <v>35795</v>
      </c>
      <c r="B3" t="n">
        <v>1997</v>
      </c>
      <c r="C3" t="n">
        <v>392375000000</v>
      </c>
      <c r="D3">
        <f>PWT!C9</f>
        <v>18250000</v>
      </c>
      <c r="E3">
        <f>C3/1000000/D3</f>
        <v>0.0215</v>
      </c>
    </row>
    <row r="4">
      <c r="A4" s="1" t="n">
        <v>36160</v>
      </c>
      <c r="B4" t="n">
        <v>1998</v>
      </c>
      <c r="C4" t="n">
        <v>384300000000</v>
      </c>
      <c r="D4">
        <f>PWT!C10</f>
        <v>18300000</v>
      </c>
      <c r="E4">
        <f>C4/1000000/D4</f>
        <v>0.021</v>
      </c>
    </row>
    <row r="5">
      <c r="A5" s="1" t="n">
        <v>36525</v>
      </c>
      <c r="B5" t="n">
        <v>1999</v>
      </c>
      <c r="C5" t="n">
        <v>378225000000</v>
      </c>
      <c r="D5">
        <f>PWT!C11</f>
        <v>18450000</v>
      </c>
      <c r="E5">
        <f>C5/1000000/D5</f>
        <v>0.0205</v>
      </c>
    </row>
    <row r="6">
      <c r="A6" s="1" t="n">
        <v>36891</v>
      </c>
      <c r="B6" t="n">
        <v>2000</v>
      </c>
      <c r="C6" t="n">
        <v>373000000000</v>
      </c>
      <c r="D6">
        <f>PWT!C12</f>
        <v>18650000</v>
      </c>
      <c r="E6">
        <f>C6/1000000/D6</f>
        <v>0.02</v>
      </c>
    </row>
    <row r="7">
      <c r="A7" s="1" t="n">
        <v>37256</v>
      </c>
      <c r="B7" t="n">
        <v>2001</v>
      </c>
      <c r="C7" t="n">
        <v>369525000000</v>
      </c>
      <c r="D7">
        <f>PWT!C13</f>
        <v>18950000</v>
      </c>
      <c r="E7">
        <f>C7/1000000/D7</f>
        <v>0.0195</v>
      </c>
    </row>
    <row r="8">
      <c r="A8" s="1" t="n">
        <v>37621</v>
      </c>
      <c r="B8" t="n">
        <v>2002</v>
      </c>
      <c r="C8" t="n">
        <v>367650000000</v>
      </c>
      <c r="D8">
        <f>PWT!C14</f>
        <v>19350000</v>
      </c>
      <c r="E8">
        <f>C8/1000000/D8</f>
        <v>0.019</v>
      </c>
    </row>
    <row r="9">
      <c r="A9" s="1" t="n">
        <v>37986</v>
      </c>
      <c r="B9" t="n">
        <v>2003</v>
      </c>
      <c r="C9" t="n">
        <v>367225000000</v>
      </c>
      <c r="D9">
        <f>PWT!C15</f>
        <v>19850000</v>
      </c>
      <c r="E9">
        <f>C9/1000000/D9</f>
        <v>0.0185</v>
      </c>
    </row>
    <row r="10">
      <c r="A10" s="1" t="n">
        <v>38352</v>
      </c>
      <c r="B10" t="n">
        <v>2004</v>
      </c>
      <c r="C10" t="n">
        <v>368100000000</v>
      </c>
      <c r="D10">
        <f>PWT!C16</f>
        <v>20450000</v>
      </c>
      <c r="E10">
        <f>C10/1000000/D10</f>
        <v>0.018</v>
      </c>
    </row>
    <row r="11">
      <c r="A11" s="1" t="n">
        <v>38717</v>
      </c>
      <c r="B11" t="n">
        <v>2005</v>
      </c>
      <c r="C11" t="n">
        <v>375580000000</v>
      </c>
      <c r="D11">
        <f>PWT!C17</f>
        <v>21100000</v>
      </c>
      <c r="E11">
        <f>C11/1000000/D11</f>
        <v>0.0178</v>
      </c>
    </row>
    <row r="12">
      <c r="A12" s="1" t="n">
        <v>39082</v>
      </c>
      <c r="B12" t="n">
        <v>2006</v>
      </c>
      <c r="C12" t="n">
        <v>383250000000</v>
      </c>
      <c r="D12">
        <f>PWT!C18</f>
        <v>21900000</v>
      </c>
      <c r="E12">
        <f>C12/1000000/D12</f>
        <v>0.0175</v>
      </c>
    </row>
    <row r="13">
      <c r="A13" s="1" t="n">
        <v>39447</v>
      </c>
      <c r="B13" t="n">
        <v>2007</v>
      </c>
      <c r="C13" t="n">
        <v>385900000000</v>
      </c>
      <c r="D13">
        <f>PWT!C19</f>
        <v>22700000</v>
      </c>
      <c r="E13">
        <f>C13/1000000/D13</f>
        <v>0.017</v>
      </c>
    </row>
    <row r="14">
      <c r="A14" s="1" t="n">
        <v>39813</v>
      </c>
      <c r="B14" t="n">
        <v>2008</v>
      </c>
      <c r="C14" t="n">
        <v>393120000000</v>
      </c>
      <c r="D14">
        <f>PWT!C20</f>
        <v>23400000</v>
      </c>
      <c r="E14">
        <f>C14/1000000/D14</f>
        <v>0.0168</v>
      </c>
    </row>
    <row r="15">
      <c r="A15" s="1" t="n">
        <v>40178</v>
      </c>
      <c r="B15" t="n">
        <v>2009</v>
      </c>
      <c r="C15" t="n">
        <v>392700000000</v>
      </c>
      <c r="D15">
        <f>PWT!C21</f>
        <v>23800000</v>
      </c>
      <c r="E15">
        <f>C15/1000000/D15</f>
        <v>0.0165</v>
      </c>
    </row>
    <row r="16">
      <c r="A16" s="1" t="n">
        <v>40543</v>
      </c>
      <c r="B16" t="n">
        <v>2010</v>
      </c>
      <c r="C16" t="n">
        <v>388800000000</v>
      </c>
      <c r="D16">
        <f>PWT!C22</f>
        <v>24000000</v>
      </c>
      <c r="E16">
        <f>C16/1000000/D16</f>
        <v>0.0162</v>
      </c>
    </row>
    <row r="17">
      <c r="A17" s="1" t="n">
        <v>40908</v>
      </c>
      <c r="B17" t="n">
        <v>2011</v>
      </c>
      <c r="C17" t="n">
        <v>388800000000</v>
      </c>
      <c r="D17">
        <f>PWT!C23</f>
        <v>24300000</v>
      </c>
      <c r="E17">
        <f>C17/1000000/D17</f>
        <v>0.016</v>
      </c>
    </row>
    <row r="18">
      <c r="A18" s="1" t="n">
        <v>41274</v>
      </c>
      <c r="B18" t="n">
        <v>2012</v>
      </c>
      <c r="C18" t="n">
        <v>390260000000.0001</v>
      </c>
      <c r="D18">
        <f>PWT!C24</f>
        <v>24700000</v>
      </c>
      <c r="E18">
        <f>C18/1000000/D18</f>
        <v>0.0158</v>
      </c>
    </row>
    <row r="19">
      <c r="A19" s="1" t="n">
        <v>41639</v>
      </c>
      <c r="B19" t="n">
        <v>2013</v>
      </c>
      <c r="C19" t="n">
        <v>390600000000</v>
      </c>
      <c r="D19">
        <f>PWT!C25</f>
        <v>25200000</v>
      </c>
      <c r="E19">
        <f>C19/1000000/D19</f>
        <v>0.0155</v>
      </c>
    </row>
    <row r="20">
      <c r="A20" s="1" t="n">
        <v>42004</v>
      </c>
      <c r="B20" t="n">
        <v>2014</v>
      </c>
      <c r="C20" t="n">
        <v>392160000000</v>
      </c>
      <c r="D20">
        <f>PWT!C26</f>
        <v>25800000</v>
      </c>
      <c r="E20">
        <f>C20/1000000/D20</f>
        <v>0.0152</v>
      </c>
    </row>
    <row r="21">
      <c r="A21" s="1" t="n">
        <v>42369</v>
      </c>
      <c r="B21" t="n">
        <v>2015</v>
      </c>
      <c r="C21" t="n">
        <v>397500000000</v>
      </c>
      <c r="D21">
        <f>PWT!C27</f>
        <v>26500000</v>
      </c>
      <c r="E21">
        <f>C21/1000000/D21</f>
        <v>0.015</v>
      </c>
    </row>
    <row r="22">
      <c r="A22" s="1" t="n">
        <v>42735</v>
      </c>
      <c r="B22" t="n">
        <v>2016</v>
      </c>
      <c r="C22" t="n">
        <v>402560000000</v>
      </c>
      <c r="D22">
        <f>PWT!C28</f>
        <v>27200000</v>
      </c>
      <c r="E22">
        <f>C22/1000000/D22</f>
        <v>0.0148</v>
      </c>
    </row>
    <row r="23">
      <c r="A23" s="1" t="n">
        <v>43100</v>
      </c>
      <c r="B23" t="n">
        <v>2017</v>
      </c>
      <c r="C23" t="n">
        <v>408800000000</v>
      </c>
      <c r="D23">
        <f>PWT!C29</f>
        <v>28000000</v>
      </c>
      <c r="E23">
        <f>C23/1000000/D23</f>
        <v>0.0146</v>
      </c>
    </row>
    <row r="24">
      <c r="A24" s="1" t="n">
        <v>43465</v>
      </c>
      <c r="B24" t="n">
        <v>2018</v>
      </c>
      <c r="C24" t="n">
        <v>415440000000</v>
      </c>
      <c r="D24">
        <f>PWT!C30</f>
        <v>28850000</v>
      </c>
      <c r="E24">
        <f>C24/1000000/D24</f>
        <v>0.0144</v>
      </c>
    </row>
    <row r="25">
      <c r="A25" s="1" t="n">
        <v>43830</v>
      </c>
      <c r="B25" t="n">
        <v>2019</v>
      </c>
      <c r="C25" t="n">
        <v>421740000000</v>
      </c>
      <c r="D25">
        <f>PWT!C31</f>
        <v>29700000</v>
      </c>
      <c r="E25">
        <f>C25/1000000/D25</f>
        <v>0.0142</v>
      </c>
    </row>
    <row r="26">
      <c r="A26" s="1" t="n">
        <v>44196</v>
      </c>
      <c r="B26" t="n">
        <v>2020</v>
      </c>
      <c r="C26" t="n">
        <v>424200000000</v>
      </c>
      <c r="D26">
        <f>PWT!C32</f>
        <v>30300000</v>
      </c>
      <c r="E26">
        <f>C26/1000000/D26</f>
        <v>0.014</v>
      </c>
    </row>
    <row r="27">
      <c r="A27" s="1" t="n">
        <v>44561</v>
      </c>
      <c r="B27" t="n">
        <v>2021</v>
      </c>
      <c r="C27" t="n">
        <v>427800000000</v>
      </c>
      <c r="D27">
        <f>PWT!C33</f>
        <v>31000000</v>
      </c>
      <c r="E27">
        <f>C27/1000000/D27</f>
        <v>0.0138</v>
      </c>
    </row>
    <row r="28">
      <c r="A28" s="1" t="n">
        <v>44926</v>
      </c>
      <c r="B28" t="n">
        <v>2022</v>
      </c>
      <c r="C28" t="n">
        <v>429300000000</v>
      </c>
      <c r="D28">
        <f>PWT!C34</f>
        <v>31800000</v>
      </c>
      <c r="E28">
        <f>C28/1000000/D28</f>
        <v>0.0135</v>
      </c>
    </row>
    <row r="29">
      <c r="A29" s="1" t="n">
        <v>45291</v>
      </c>
      <c r="B29" t="n">
        <v>2023</v>
      </c>
      <c r="C29" t="n">
        <v>430980000000</v>
      </c>
      <c r="D29">
        <f>PWT!C35</f>
        <v>32650000</v>
      </c>
      <c r="E29">
        <f>C29/1000000/D29</f>
        <v>0.0132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rgdpna</t>
        </is>
      </c>
      <c r="C1" t="inlineStr">
        <is>
          <t>rnna</t>
        </is>
      </c>
    </row>
    <row r="2">
      <c r="A2" t="n">
        <v>1990</v>
      </c>
      <c r="B2" t="n">
        <v>1660000</v>
      </c>
      <c r="C2" t="n">
        <v>20800000</v>
      </c>
    </row>
    <row r="3">
      <c r="A3" t="n">
        <v>1991</v>
      </c>
      <c r="B3" t="n">
        <v>1520000</v>
      </c>
      <c r="C3" t="n">
        <v>20400000</v>
      </c>
    </row>
    <row r="4">
      <c r="A4" t="n">
        <v>1992</v>
      </c>
      <c r="B4" t="n">
        <v>1200000</v>
      </c>
      <c r="C4" t="n">
        <v>19800000</v>
      </c>
    </row>
    <row r="5">
      <c r="A5" t="n">
        <v>1993</v>
      </c>
      <c r="B5" t="n">
        <v>970000</v>
      </c>
      <c r="C5" t="n">
        <v>19200000</v>
      </c>
    </row>
    <row r="6">
      <c r="A6" t="n">
        <v>1994</v>
      </c>
      <c r="B6" t="n">
        <v>890000</v>
      </c>
      <c r="C6" t="n">
        <v>18800000</v>
      </c>
    </row>
    <row r="7">
      <c r="A7" t="n">
        <v>1995</v>
      </c>
      <c r="B7" t="n">
        <v>940000</v>
      </c>
      <c r="C7" t="n">
        <v>18500000</v>
      </c>
    </row>
    <row r="8">
      <c r="A8" t="n">
        <v>1996</v>
      </c>
      <c r="B8" t="n">
        <v>1010000</v>
      </c>
      <c r="C8" t="n">
        <v>18350000</v>
      </c>
    </row>
    <row r="9">
      <c r="A9" t="n">
        <v>1997</v>
      </c>
      <c r="B9" t="n">
        <v>1080000</v>
      </c>
      <c r="C9" t="n">
        <v>18250000</v>
      </c>
    </row>
    <row r="10">
      <c r="A10" t="n">
        <v>1998</v>
      </c>
      <c r="B10" t="n">
        <v>1150000</v>
      </c>
      <c r="C10" t="n">
        <v>18300000</v>
      </c>
    </row>
    <row r="11">
      <c r="A11" t="n">
        <v>1999</v>
      </c>
      <c r="B11" t="n">
        <v>1190000</v>
      </c>
      <c r="C11" t="n">
        <v>18450000</v>
      </c>
    </row>
    <row r="12">
      <c r="A12" t="n">
        <v>2000</v>
      </c>
      <c r="B12" t="n">
        <v>1240000</v>
      </c>
      <c r="C12" t="n">
        <v>18650000</v>
      </c>
    </row>
    <row r="13">
      <c r="A13" t="n">
        <v>2001</v>
      </c>
      <c r="B13" t="n">
        <v>1330000</v>
      </c>
      <c r="C13" t="n">
        <v>18950000</v>
      </c>
    </row>
    <row r="14">
      <c r="A14" t="n">
        <v>2002</v>
      </c>
      <c r="B14" t="n">
        <v>1490000</v>
      </c>
      <c r="C14" t="n">
        <v>19350000</v>
      </c>
    </row>
    <row r="15">
      <c r="A15" t="n">
        <v>2003</v>
      </c>
      <c r="B15" t="n">
        <v>1700000</v>
      </c>
      <c r="C15" t="n">
        <v>19850000</v>
      </c>
    </row>
    <row r="16">
      <c r="A16" t="n">
        <v>2004</v>
      </c>
      <c r="B16" t="n">
        <v>1890000</v>
      </c>
      <c r="C16" t="n">
        <v>20450000</v>
      </c>
    </row>
    <row r="17">
      <c r="A17" t="n">
        <v>2005</v>
      </c>
      <c r="B17" t="n">
        <v>2160000</v>
      </c>
      <c r="C17" t="n">
        <v>21100000</v>
      </c>
    </row>
    <row r="18">
      <c r="A18" t="n">
        <v>2006</v>
      </c>
      <c r="B18" t="n">
        <v>2320000</v>
      </c>
      <c r="C18" t="n">
        <v>21900000</v>
      </c>
    </row>
    <row r="19">
      <c r="A19" t="n">
        <v>2007</v>
      </c>
      <c r="B19" t="n">
        <v>2560000</v>
      </c>
      <c r="C19" t="n">
        <v>22700000</v>
      </c>
    </row>
    <row r="20">
      <c r="A20" t="n">
        <v>2008</v>
      </c>
      <c r="B20" t="n">
        <v>2730000</v>
      </c>
      <c r="C20" t="n">
        <v>23400000</v>
      </c>
    </row>
    <row r="21">
      <c r="A21" t="n">
        <v>2009</v>
      </c>
      <c r="B21" t="n">
        <v>2620000</v>
      </c>
      <c r="C21" t="n">
        <v>23800000</v>
      </c>
    </row>
    <row r="22">
      <c r="A22" t="n">
        <v>2010</v>
      </c>
      <c r="B22" t="n">
        <v>2690000</v>
      </c>
      <c r="C22" t="n">
        <v>24000000</v>
      </c>
    </row>
    <row r="23">
      <c r="A23" t="n">
        <v>2011</v>
      </c>
      <c r="B23" t="n">
        <v>2810000</v>
      </c>
      <c r="C23" t="n">
        <v>24300000</v>
      </c>
    </row>
    <row r="24">
      <c r="A24" t="n">
        <v>2012</v>
      </c>
      <c r="B24" t="n">
        <v>3000000</v>
      </c>
      <c r="C24" t="n">
        <v>24700000</v>
      </c>
    </row>
    <row r="25">
      <c r="A25" t="n">
        <v>2013</v>
      </c>
      <c r="B25" t="n">
        <v>3220000</v>
      </c>
      <c r="C25" t="n">
        <v>25200000</v>
      </c>
    </row>
    <row r="26">
      <c r="A26" t="n">
        <v>2014</v>
      </c>
      <c r="B26" t="n">
        <v>3440000</v>
      </c>
      <c r="C26" t="n">
        <v>25800000</v>
      </c>
    </row>
    <row r="27">
      <c r="A27" t="n">
        <v>2015</v>
      </c>
      <c r="B27" t="n">
        <v>3660000</v>
      </c>
      <c r="C27" t="n">
        <v>26500000</v>
      </c>
    </row>
    <row r="28">
      <c r="A28" t="n">
        <v>2016</v>
      </c>
      <c r="B28" t="n">
        <v>3880000</v>
      </c>
      <c r="C28" t="n">
        <v>27200000</v>
      </c>
    </row>
    <row r="29">
      <c r="A29" t="n">
        <v>2017</v>
      </c>
      <c r="B29" t="n">
        <v>4130000</v>
      </c>
      <c r="C29" t="n">
        <v>28000000</v>
      </c>
    </row>
    <row r="30">
      <c r="A30" t="n">
        <v>2018</v>
      </c>
      <c r="B30" t="n">
        <v>4340000</v>
      </c>
      <c r="C30" t="n">
        <v>28850000</v>
      </c>
    </row>
    <row r="31">
      <c r="A31" t="n">
        <v>2019</v>
      </c>
      <c r="B31" t="n">
        <v>4620000</v>
      </c>
      <c r="C31" t="n">
        <v>29700000</v>
      </c>
    </row>
    <row r="32">
      <c r="A32" t="n">
        <v>2020</v>
      </c>
      <c r="B32" t="n">
        <v>4300000</v>
      </c>
      <c r="C32" t="n">
        <v>30300000</v>
      </c>
    </row>
    <row r="33">
      <c r="A33" t="n">
        <v>2021</v>
      </c>
      <c r="B33" t="n">
        <v>4830000</v>
      </c>
      <c r="C33" t="n">
        <v>31000000</v>
      </c>
    </row>
    <row r="34">
      <c r="A34" t="n">
        <v>2022</v>
      </c>
      <c r="B34" t="n">
        <v>5180000</v>
      </c>
      <c r="C34" t="n">
        <v>31800000</v>
      </c>
    </row>
    <row r="35">
      <c r="A35" t="n">
        <v>2023</v>
      </c>
      <c r="B35" t="n">
        <v>5520000</v>
      </c>
      <c r="C35" t="n">
        <v>32650000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WEO Country Code</t>
        </is>
      </c>
      <c r="C1" t="n">
        <v>911</v>
      </c>
      <c r="D1" t="n">
        <v>911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Armenia</t>
        </is>
      </c>
      <c r="D3" t="inlineStr">
        <is>
          <t>Armenia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Statistical Service of the Republic of Armenia. Base year: 2019. Primary domestic currency: Armenian dram. Data updated: 04/2025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1.24</v>
      </c>
      <c r="D8" t="n">
        <v>5.9</v>
      </c>
    </row>
    <row r="9">
      <c r="B9" t="n">
        <v>2001</v>
      </c>
      <c r="C9" t="n">
        <v>1.33</v>
      </c>
      <c r="D9" t="n">
        <v>9.6</v>
      </c>
    </row>
    <row r="10">
      <c r="B10" t="n">
        <v>2002</v>
      </c>
      <c r="C10" t="n">
        <v>1.49</v>
      </c>
      <c r="D10" t="n">
        <v>13.2</v>
      </c>
    </row>
    <row r="11">
      <c r="B11" t="n">
        <v>2003</v>
      </c>
      <c r="C11" t="n">
        <v>1.7</v>
      </c>
      <c r="D11" t="n">
        <v>13.6</v>
      </c>
    </row>
    <row r="12">
      <c r="B12" t="n">
        <v>2004</v>
      </c>
      <c r="C12" t="n">
        <v>1.89</v>
      </c>
      <c r="D12" t="n">
        <v>11.1</v>
      </c>
    </row>
    <row r="13">
      <c r="B13" t="n">
        <v>2005</v>
      </c>
      <c r="C13" t="n">
        <v>2.16</v>
      </c>
      <c r="D13" t="n">
        <v>14</v>
      </c>
    </row>
    <row r="14">
      <c r="B14" t="n">
        <v>2006</v>
      </c>
      <c r="C14" t="n">
        <v>2.32</v>
      </c>
      <c r="D14" t="n">
        <v>7.6</v>
      </c>
    </row>
    <row r="15">
      <c r="B15" t="n">
        <v>2007</v>
      </c>
      <c r="C15" t="n">
        <v>2.56</v>
      </c>
      <c r="D15" t="n">
        <v>10.4</v>
      </c>
    </row>
    <row r="16">
      <c r="B16" t="n">
        <v>2008</v>
      </c>
      <c r="C16" t="n">
        <v>2.73</v>
      </c>
      <c r="D16" t="n">
        <v>6.9</v>
      </c>
    </row>
    <row r="17">
      <c r="B17" t="n">
        <v>2009</v>
      </c>
      <c r="C17" t="n">
        <v>2.62</v>
      </c>
      <c r="D17" t="n">
        <v>-4.1</v>
      </c>
    </row>
    <row r="18">
      <c r="B18" t="n">
        <v>2010</v>
      </c>
      <c r="C18" t="n">
        <v>2.69</v>
      </c>
      <c r="D18" t="n">
        <v>2.6</v>
      </c>
    </row>
    <row r="19">
      <c r="B19" t="n">
        <v>2011</v>
      </c>
      <c r="C19" t="n">
        <v>2.81</v>
      </c>
      <c r="D19" t="n">
        <v>4.3</v>
      </c>
    </row>
    <row r="20">
      <c r="B20" t="n">
        <v>2012</v>
      </c>
      <c r="C20" t="n">
        <v>3</v>
      </c>
      <c r="D20" t="n">
        <v>7.1</v>
      </c>
    </row>
    <row r="21">
      <c r="B21" t="n">
        <v>2013</v>
      </c>
      <c r="C21" t="n">
        <v>3.22</v>
      </c>
      <c r="D21" t="n">
        <v>7.2</v>
      </c>
    </row>
    <row r="22">
      <c r="B22" t="n">
        <v>2014</v>
      </c>
      <c r="C22" t="n">
        <v>3.44</v>
      </c>
      <c r="D22" t="n">
        <v>7</v>
      </c>
    </row>
    <row r="23">
      <c r="B23" t="n">
        <v>2015</v>
      </c>
      <c r="C23" t="n">
        <v>3.66</v>
      </c>
      <c r="D23" t="n">
        <v>6.4</v>
      </c>
    </row>
    <row r="24">
      <c r="B24" t="n">
        <v>2016</v>
      </c>
      <c r="C24" t="n">
        <v>3.88</v>
      </c>
      <c r="D24" t="n">
        <v>6</v>
      </c>
    </row>
    <row r="25">
      <c r="B25" t="n">
        <v>2017</v>
      </c>
      <c r="C25" t="n">
        <v>4.13</v>
      </c>
      <c r="D25" t="n">
        <v>4.7</v>
      </c>
    </row>
    <row r="26">
      <c r="B26" t="n">
        <v>2018</v>
      </c>
      <c r="C26" t="n">
        <v>4.34</v>
      </c>
      <c r="D26" t="n">
        <v>5.1</v>
      </c>
    </row>
    <row r="27">
      <c r="B27" t="n">
        <v>2019</v>
      </c>
      <c r="C27" t="n">
        <v>4.62</v>
      </c>
      <c r="D27" t="n">
        <v>6.4</v>
      </c>
    </row>
    <row r="28">
      <c r="B28" t="n">
        <v>2020</v>
      </c>
      <c r="C28" t="n">
        <v>4.3</v>
      </c>
      <c r="D28" t="n">
        <v>-7</v>
      </c>
    </row>
    <row r="29">
      <c r="B29" t="n">
        <v>2021</v>
      </c>
      <c r="C29" t="n">
        <v>4.83</v>
      </c>
      <c r="D29" t="n">
        <v>12.4</v>
      </c>
    </row>
    <row r="30">
      <c r="B30" t="n">
        <v>2022</v>
      </c>
      <c r="C30" t="n">
        <v>5.18</v>
      </c>
      <c r="D30" t="n">
        <v>7.3</v>
      </c>
    </row>
    <row r="31">
      <c r="B31" t="n">
        <v>2023</v>
      </c>
      <c r="C31" t="n">
        <v>5.52</v>
      </c>
      <c r="D31" t="n">
        <v>6.5</v>
      </c>
    </row>
    <row r="32">
      <c r="B32" t="n">
        <v>2024</v>
      </c>
      <c r="C32" t="n">
        <v>5.96</v>
      </c>
      <c r="D32" t="n">
        <v>8</v>
      </c>
    </row>
    <row r="33">
      <c r="B33" t="n">
        <v>2025</v>
      </c>
      <c r="C33" t="n">
        <v>6.32</v>
      </c>
      <c r="D33" t="n">
        <v>6</v>
      </c>
    </row>
    <row r="34">
      <c r="B34" t="n">
        <v>2026</v>
      </c>
      <c r="C34" t="n">
        <v>6.7</v>
      </c>
      <c r="D34" t="n">
        <v>6</v>
      </c>
    </row>
    <row r="35">
      <c r="B35" t="n">
        <v>2027</v>
      </c>
      <c r="C35" t="n">
        <v>7.1</v>
      </c>
      <c r="D35" t="n">
        <v>6</v>
      </c>
    </row>
    <row r="36">
      <c r="B36" t="n">
        <v>2028</v>
      </c>
      <c r="C36">
        <f>C35*(1+D36/100)</f>
        <v>7.526</v>
      </c>
      <c r="D36" t="n">
        <v>6</v>
      </c>
    </row>
    <row r="37">
      <c r="B37" t="n">
        <v>2029</v>
      </c>
      <c r="C37">
        <f>C36*(1+D37/100)</f>
        <v>7.97756</v>
      </c>
      <c r="D37" t="n">
        <v>6</v>
      </c>
    </row>
    <row r="38">
      <c r="B38" t="n">
        <v>2030</v>
      </c>
      <c r="C38">
        <f>C37*(1+D38/100)</f>
        <v>8.4562136</v>
      </c>
      <c r="D38" t="n">
        <v>6</v>
      </c>
    </row>
    <row r="39">
      <c r="B39" t="n">
        <v>2031</v>
      </c>
      <c r="C39">
        <f>C38*(1+D39/100)</f>
        <v>8.963586416</v>
      </c>
      <c r="D39" t="n">
        <v>6</v>
      </c>
    </row>
    <row r="40">
      <c r="B40" t="n">
        <v>2032</v>
      </c>
      <c r="C40">
        <f>C39*(1+D40/100)</f>
        <v>9.501401601</v>
      </c>
      <c r="D40" t="n">
        <v>6</v>
      </c>
    </row>
    <row r="41">
      <c r="B41" t="n">
        <v>2033</v>
      </c>
      <c r="C41">
        <f>C40*(1+D41/100)</f>
        <v>10.0714857</v>
      </c>
      <c r="D41" t="n">
        <v>6</v>
      </c>
    </row>
    <row r="42">
      <c r="B42" t="n">
        <v>2034</v>
      </c>
      <c r="C42">
        <f>C41*(1+D42/100)</f>
        <v>10.67577484</v>
      </c>
      <c r="D42" t="n">
        <v>6</v>
      </c>
    </row>
    <row r="43">
      <c r="B43" t="n">
        <v>2035</v>
      </c>
      <c r="C43">
        <f>C42*(1+D43/100)</f>
        <v>11.31632133</v>
      </c>
      <c r="D43" t="n">
        <v>6</v>
      </c>
    </row>
    <row r="44">
      <c r="B44" t="n">
        <v>2036</v>
      </c>
      <c r="C44">
        <f>C43*(1+D44/100)</f>
        <v>11.99530061</v>
      </c>
      <c r="D44" t="n">
        <v>6</v>
      </c>
    </row>
    <row r="45">
      <c r="B45" t="n">
        <v>2037</v>
      </c>
      <c r="C45">
        <f>C44*(1+D45/100)</f>
        <v>12.71501865</v>
      </c>
      <c r="D45" t="n">
        <v>6</v>
      </c>
    </row>
    <row r="46">
      <c r="B46" t="n">
        <v>2038</v>
      </c>
      <c r="C46">
        <f>C45*(1+D46/100)</f>
        <v>13.47791976</v>
      </c>
      <c r="D46" t="n">
        <v>6</v>
      </c>
    </row>
    <row r="47">
      <c r="B47" t="n">
        <v>2039</v>
      </c>
      <c r="C47">
        <f>C46*(1+D47/100)</f>
        <v>14.28659495</v>
      </c>
      <c r="D47" t="n">
        <v>6</v>
      </c>
    </row>
    <row r="48">
      <c r="B48" t="n">
        <v>2040</v>
      </c>
      <c r="C48">
        <f>C47*(1+D48/100)</f>
        <v>15.14379065</v>
      </c>
      <c r="D48" t="n">
        <v>6</v>
      </c>
    </row>
    <row r="49">
      <c r="B49" t="n">
        <v>2041</v>
      </c>
      <c r="C49">
        <f>C48*(1+D49/100)</f>
        <v>16.05241809</v>
      </c>
      <c r="D49" t="n">
        <v>6</v>
      </c>
    </row>
    <row r="50">
      <c r="B50" t="n">
        <v>2042</v>
      </c>
      <c r="C50">
        <f>C49*(1+D50/100)</f>
        <v>17.01556317</v>
      </c>
      <c r="D50" t="n">
        <v>6</v>
      </c>
    </row>
    <row r="51">
      <c r="B51" t="n">
        <v>2043</v>
      </c>
      <c r="C51">
        <f>C50*(1+D51/100)</f>
        <v>18.03649696</v>
      </c>
      <c r="D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2026-04-20T05:22:50Z</dcterms:created>
  <dcterms:modified xsi:type="dcterms:W3CDTF">2026-04-20T05:22:50Z</dcterms:modified>
</cp:coreProperties>
</file>