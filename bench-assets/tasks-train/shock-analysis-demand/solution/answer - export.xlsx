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O_Projections" sheetId="1" state="visible" r:id="rId1"/>
    <sheet xmlns:r="http://schemas.openxmlformats.org/officeDocument/2006/relationships" name="EXPORTS-2023" sheetId="2" state="visible" r:id="rId2"/>
    <sheet xmlns:r="http://schemas.openxmlformats.org/officeDocument/2006/relationships" name="IMPORTS-2023" sheetId="3" state="visible" r:id="rId3"/>
    <sheet xmlns:r="http://schemas.openxmlformats.org/officeDocument/2006/relationships" name="Trade_Calc" sheetId="4" state="visible" r:id="rId4"/>
    <sheet xmlns:r="http://schemas.openxmlformats.org/officeDocument/2006/relationships" name="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2" customWidth="1" min="3" max="3"/>
    <col width="24" customWidth="1" min="4" max="4"/>
    <col width="26" customWidth="1" min="5" max="5"/>
  </cols>
  <sheetData>
    <row r="1">
      <c r="A1" s="1" t="inlineStr">
        <is>
          <t>Year</t>
        </is>
      </c>
      <c r="B1" s="1" t="inlineStr">
        <is>
          <t>Nominal GDP (bln AMD)</t>
        </is>
      </c>
      <c r="C1" s="1" t="inlineStr">
        <is>
          <t>Real GDP growth (%)</t>
        </is>
      </c>
      <c r="D1" s="1" t="inlineStr">
        <is>
          <t>GDP Deflator (index)</t>
        </is>
      </c>
      <c r="E1" s="1" t="inlineStr">
        <is>
          <t>Deflator YoY change (%)</t>
        </is>
      </c>
    </row>
    <row r="2">
      <c r="A2" t="n">
        <v>2021</v>
      </c>
      <c r="B2" t="n">
        <v>6983.3</v>
      </c>
      <c r="C2" s="2" t="n">
        <v>0.057</v>
      </c>
      <c r="D2" t="n">
        <v>118.5</v>
      </c>
    </row>
    <row r="3">
      <c r="A3" t="n">
        <v>2022</v>
      </c>
      <c r="B3" t="n">
        <v>8501.299999999999</v>
      </c>
      <c r="C3" s="2" t="n">
        <v>0.126</v>
      </c>
      <c r="D3" t="n">
        <v>127.3</v>
      </c>
      <c r="E3" s="2">
        <f>(D3-D2)/D2</f>
        <v/>
      </c>
    </row>
    <row r="4">
      <c r="A4" t="n">
        <v>2023</v>
      </c>
      <c r="B4" t="n">
        <v>9456.200000000001</v>
      </c>
      <c r="C4" s="2" t="n">
        <v>0.083</v>
      </c>
      <c r="D4" t="n">
        <v>131.8</v>
      </c>
      <c r="E4" s="2">
        <f>(D4-D3)/D3</f>
        <v/>
      </c>
    </row>
    <row r="5">
      <c r="A5" t="n">
        <v>2024</v>
      </c>
      <c r="B5" t="n">
        <v>10214.5</v>
      </c>
      <c r="C5" s="2" t="n">
        <v>0.064</v>
      </c>
      <c r="D5" t="n">
        <v>135.4</v>
      </c>
      <c r="E5" s="2">
        <f>(D5-D4)/D4</f>
        <v/>
      </c>
    </row>
    <row r="6">
      <c r="A6" t="n">
        <v>2025</v>
      </c>
      <c r="B6" t="n">
        <v>10960</v>
      </c>
      <c r="C6" s="2" t="n">
        <v>0.052</v>
      </c>
      <c r="D6" t="n">
        <v>139.7</v>
      </c>
      <c r="E6" s="2">
        <f>(D6-D5)/D5</f>
        <v/>
      </c>
    </row>
    <row r="7">
      <c r="A7" t="n">
        <v>2026</v>
      </c>
      <c r="B7" t="n">
        <v>11750</v>
      </c>
      <c r="C7" s="2" t="n">
        <v>0.05</v>
      </c>
      <c r="D7" t="n">
        <v>143.8</v>
      </c>
      <c r="E7" s="2">
        <f>(D7-D6)/D6</f>
        <v/>
      </c>
    </row>
    <row r="8">
      <c r="A8" t="n">
        <v>2027</v>
      </c>
      <c r="B8">
        <f>B7*(1+C8)*(D8/D7)</f>
        <v/>
      </c>
      <c r="C8" s="2">
        <f>C7</f>
        <v/>
      </c>
      <c r="D8">
        <f>D7*(1+AVERAGE(E4:E7))</f>
        <v/>
      </c>
      <c r="E8" s="2">
        <f>(D8-D7)/D7</f>
        <v/>
      </c>
    </row>
    <row r="9">
      <c r="A9" t="n">
        <v>2028</v>
      </c>
      <c r="B9">
        <f>B8*(1+C9)*(D9/D8)</f>
        <v/>
      </c>
      <c r="C9" s="2">
        <f>C7</f>
        <v/>
      </c>
      <c r="D9">
        <f>D8*(1+AVERAGE(E4:E7))</f>
        <v/>
      </c>
      <c r="E9" s="2">
        <f>(D9-D8)/D8</f>
        <v/>
      </c>
    </row>
    <row r="10">
      <c r="A10" t="n">
        <v>2029</v>
      </c>
      <c r="B10">
        <f>B9*(1+C10)*(D10/D9)</f>
        <v/>
      </c>
      <c r="C10" s="2">
        <f>C7</f>
        <v/>
      </c>
      <c r="D10">
        <f>D9*(1+AVERAGE(E4:E7))</f>
        <v/>
      </c>
      <c r="E10" s="2">
        <f>(D10-D9)/D9</f>
        <v/>
      </c>
    </row>
    <row r="11">
      <c r="A11" t="n">
        <v>2030</v>
      </c>
      <c r="B11">
        <f>B10*(1+C11)*(D11/D10)</f>
        <v/>
      </c>
      <c r="C11" s="2">
        <f>C7</f>
        <v/>
      </c>
      <c r="D11">
        <f>D10*(1+AVERAGE(E4:E7))</f>
        <v/>
      </c>
      <c r="E11" s="2">
        <f>(D11-D10)/D10</f>
        <v/>
      </c>
    </row>
    <row r="12">
      <c r="A12" t="n">
        <v>2031</v>
      </c>
      <c r="B12">
        <f>B11*(1+C12)*(D12/D11)</f>
        <v/>
      </c>
      <c r="C12" s="2">
        <f>C7</f>
        <v/>
      </c>
      <c r="D12">
        <f>D11*(1+AVERAGE(E4:E7))</f>
        <v/>
      </c>
      <c r="E12" s="2">
        <f>(D12-D11)/D11</f>
        <v/>
      </c>
    </row>
    <row r="13">
      <c r="A13" t="n">
        <v>2032</v>
      </c>
      <c r="B13">
        <f>B12*(1+C13)*(D13/D12)</f>
        <v/>
      </c>
      <c r="C13" s="2">
        <f>C7</f>
        <v/>
      </c>
      <c r="D13">
        <f>D12*(1+AVERAGE(E4:E7))</f>
        <v/>
      </c>
      <c r="E13" s="2">
        <f>(D13-D12)/D12</f>
        <v/>
      </c>
    </row>
    <row r="14">
      <c r="A14" t="n">
        <v>2033</v>
      </c>
      <c r="B14">
        <f>B13*(1+C14)*(D14/D13)</f>
        <v/>
      </c>
      <c r="C14" s="2">
        <f>C7</f>
        <v/>
      </c>
      <c r="D14">
        <f>D13*(1+AVERAGE(E4:E7))</f>
        <v/>
      </c>
      <c r="E14" s="2">
        <f>(D14-D13)/D13</f>
        <v/>
      </c>
    </row>
    <row r="15">
      <c r="A15" t="n">
        <v>2034</v>
      </c>
      <c r="B15">
        <f>B14*(1+C15)*(D15/D14)</f>
        <v/>
      </c>
      <c r="C15" s="2">
        <f>C7</f>
        <v/>
      </c>
      <c r="D15">
        <f>D14*(1+AVERAGE(E4:E7))</f>
        <v/>
      </c>
      <c r="E15" s="2">
        <f>(D15-D14)/D14</f>
        <v/>
      </c>
    </row>
    <row r="16">
      <c r="A16" t="n">
        <v>2035</v>
      </c>
      <c r="B16">
        <f>B15*(1+C16)*(D16/D15)</f>
        <v/>
      </c>
      <c r="C16" s="2">
        <f>C7</f>
        <v/>
      </c>
      <c r="D16">
        <f>D15*(1+AVERAGE(E4:E7))</f>
        <v/>
      </c>
      <c r="E16" s="2">
        <f>(D16-D15)/D15</f>
        <v/>
      </c>
    </row>
    <row r="17">
      <c r="A17" t="n">
        <v>2036</v>
      </c>
      <c r="B17">
        <f>B16*(1+C17)*(D17/D16)</f>
        <v/>
      </c>
      <c r="C17" s="2">
        <f>C7</f>
        <v/>
      </c>
      <c r="D17">
        <f>D16*(1+AVERAGE(E4:E7))</f>
        <v/>
      </c>
      <c r="E17" s="2">
        <f>(D17-D16)/D16</f>
        <v/>
      </c>
    </row>
    <row r="18">
      <c r="A18" t="n">
        <v>2037</v>
      </c>
      <c r="B18">
        <f>B17*(1+C18)*(D18/D17)</f>
        <v/>
      </c>
      <c r="C18" s="2">
        <f>C7</f>
        <v/>
      </c>
      <c r="D18">
        <f>D17*(1+AVERAGE(E4:E7))</f>
        <v/>
      </c>
      <c r="E18" s="2">
        <f>(D18-D17)/D17</f>
        <v/>
      </c>
    </row>
    <row r="19">
      <c r="A19" t="n">
        <v>2038</v>
      </c>
      <c r="B19">
        <f>B18*(1+C19)*(D19/D18)</f>
        <v/>
      </c>
      <c r="C19" s="2">
        <f>C7</f>
        <v/>
      </c>
      <c r="D19">
        <f>D18*(1+AVERAGE(E4:E7))</f>
        <v/>
      </c>
      <c r="E19" s="2">
        <f>(D19-D18)/D18</f>
        <v/>
      </c>
    </row>
    <row r="20">
      <c r="A20" t="n">
        <v>2039</v>
      </c>
      <c r="B20">
        <f>B19*(1+C20)*(D20/D19)</f>
        <v/>
      </c>
      <c r="C20" s="2">
        <f>C7</f>
        <v/>
      </c>
      <c r="D20">
        <f>D19*(1+AVERAGE(E4:E7))</f>
        <v/>
      </c>
      <c r="E20" s="2">
        <f>(D20-D19)/D19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3" t="inlineStr">
        <is>
          <t>Armenia Merchandise Exports by Sector, 2023 (mln AMD)</t>
        </is>
      </c>
    </row>
    <row r="3">
      <c r="A3" s="1" t="inlineStr">
        <is>
          <t>Sector</t>
        </is>
      </c>
      <c r="B3" s="1" t="inlineStr">
        <is>
          <t>Export Value</t>
        </is>
      </c>
    </row>
    <row r="4">
      <c r="A4" t="inlineStr">
        <is>
          <t>Mining and quarrying</t>
        </is>
      </c>
      <c r="B4" t="n">
        <v>1850</v>
      </c>
    </row>
    <row r="5">
      <c r="A5" t="inlineStr">
        <is>
          <t>Agriculture</t>
        </is>
      </c>
      <c r="B5" t="n">
        <v>45</v>
      </c>
    </row>
    <row r="6">
      <c r="A6" t="inlineStr">
        <is>
          <t>Food and beverages</t>
        </is>
      </c>
      <c r="B6" t="n">
        <v>1120</v>
      </c>
    </row>
    <row r="7">
      <c r="A7" t="inlineStr">
        <is>
          <t>Tobacco</t>
        </is>
      </c>
      <c r="B7" t="n">
        <v>270</v>
      </c>
    </row>
    <row r="8">
      <c r="A8" t="inlineStr">
        <is>
          <t>Textiles raw</t>
        </is>
      </c>
      <c r="B8" t="n">
        <v>248</v>
      </c>
    </row>
    <row r="9">
      <c r="A9" t="inlineStr">
        <is>
          <t>Metals and ores</t>
        </is>
      </c>
      <c r="B9" t="n">
        <v>920</v>
      </c>
    </row>
    <row r="10">
      <c r="A10" t="inlineStr">
        <is>
          <t>Chemical products</t>
        </is>
      </c>
      <c r="B10" t="n">
        <v>124</v>
      </c>
    </row>
    <row r="11">
      <c r="A11" t="inlineStr">
        <is>
          <t>Rubber and plastics</t>
        </is>
      </c>
      <c r="B11" t="n">
        <v>578</v>
      </c>
    </row>
    <row r="12">
      <c r="A12" t="inlineStr">
        <is>
          <t>Non-metallic minerals</t>
        </is>
      </c>
      <c r="B12" t="n">
        <v>109</v>
      </c>
    </row>
    <row r="13">
      <c r="A13" t="inlineStr">
        <is>
          <t>Basic metals</t>
        </is>
      </c>
      <c r="B13" t="n">
        <v>452</v>
      </c>
    </row>
    <row r="14">
      <c r="A14" t="inlineStr">
        <is>
          <t>Textiles and apparel</t>
        </is>
      </c>
      <c r="B14" t="n">
        <v>780</v>
      </c>
    </row>
    <row r="15">
      <c r="A15" t="inlineStr">
        <is>
          <t>Wood products</t>
        </is>
      </c>
      <c r="B15" t="n">
        <v>50</v>
      </c>
    </row>
    <row r="16">
      <c r="A16" t="inlineStr">
        <is>
          <t>Paper and printing</t>
        </is>
      </c>
      <c r="B16" t="n">
        <v>115</v>
      </c>
    </row>
    <row r="17">
      <c r="A17" t="inlineStr">
        <is>
          <t>Coke and petroleum</t>
        </is>
      </c>
      <c r="B17" t="n">
        <v>243</v>
      </c>
    </row>
    <row r="18">
      <c r="A18" t="inlineStr">
        <is>
          <t>Pharmaceuticals</t>
        </is>
      </c>
      <c r="B18" t="n">
        <v>258</v>
      </c>
    </row>
    <row r="19">
      <c r="A19" t="inlineStr">
        <is>
          <t>Machinery and equipment</t>
        </is>
      </c>
      <c r="B19" t="n">
        <v>650</v>
      </c>
    </row>
    <row r="20">
      <c r="A20" t="inlineStr">
        <is>
          <t>Electrical equipment</t>
        </is>
      </c>
      <c r="B20" t="n">
        <v>47</v>
      </c>
    </row>
    <row r="21">
      <c r="A21" t="inlineStr">
        <is>
          <t>Motor vehicles</t>
        </is>
      </c>
      <c r="B21" t="n">
        <v>594</v>
      </c>
    </row>
    <row r="22">
      <c r="A22" t="inlineStr">
        <is>
          <t>Other transport</t>
        </is>
      </c>
      <c r="B22" t="n">
        <v>223</v>
      </c>
    </row>
    <row r="23">
      <c r="A23" t="inlineStr">
        <is>
          <t>Furniture</t>
        </is>
      </c>
      <c r="B23" t="n">
        <v>578</v>
      </c>
    </row>
    <row r="24">
      <c r="A24" t="inlineStr">
        <is>
          <t>ICT services</t>
        </is>
      </c>
      <c r="B24" t="n">
        <v>449</v>
      </c>
    </row>
    <row r="25">
      <c r="A25" t="inlineStr">
        <is>
          <t>Financial services</t>
        </is>
      </c>
      <c r="B25" t="n">
        <v>245</v>
      </c>
    </row>
    <row r="26">
      <c r="A26" t="inlineStr">
        <is>
          <t>Construction materials</t>
        </is>
      </c>
      <c r="B26" t="n">
        <v>479</v>
      </c>
    </row>
    <row r="27">
      <c r="A27" t="inlineStr">
        <is>
          <t>Gems and jewelry</t>
        </is>
      </c>
      <c r="B27" t="n">
        <v>304</v>
      </c>
    </row>
    <row r="28">
      <c r="A28" t="inlineStr">
        <is>
          <t>Beverages (alcoholic)</t>
        </is>
      </c>
      <c r="B28" t="n">
        <v>26</v>
      </c>
    </row>
    <row r="29">
      <c r="A29" t="inlineStr">
        <is>
          <t>Leather products</t>
        </is>
      </c>
      <c r="B29" t="n">
        <v>183</v>
      </c>
    </row>
    <row r="30">
      <c r="A30" t="inlineStr">
        <is>
          <t>Glass products</t>
        </is>
      </c>
      <c r="B30" t="n">
        <v>452</v>
      </c>
    </row>
    <row r="31">
      <c r="A31" t="inlineStr">
        <is>
          <t>Ceramic products</t>
        </is>
      </c>
      <c r="B31" t="n">
        <v>368</v>
      </c>
    </row>
    <row r="32">
      <c r="A32" t="inlineStr">
        <is>
          <t>Precision instruments</t>
        </is>
      </c>
      <c r="B32" t="n">
        <v>304</v>
      </c>
    </row>
    <row r="33">
      <c r="A33" t="inlineStr">
        <is>
          <t>Weapons and ammunition</t>
        </is>
      </c>
      <c r="B33" t="n">
        <v>179</v>
      </c>
    </row>
    <row r="34">
      <c r="A34" t="inlineStr">
        <is>
          <t>Recycled materials</t>
        </is>
      </c>
      <c r="B34" t="n">
        <v>240</v>
      </c>
    </row>
    <row r="35">
      <c r="A35" t="inlineStr">
        <is>
          <t>Energy products</t>
        </is>
      </c>
      <c r="B35" t="n">
        <v>364</v>
      </c>
    </row>
    <row r="36">
      <c r="A36" t="inlineStr">
        <is>
          <t>Water supply</t>
        </is>
      </c>
      <c r="B36" t="n">
        <v>124</v>
      </c>
    </row>
    <row r="37">
      <c r="A37" t="inlineStr">
        <is>
          <t>Waste management</t>
        </is>
      </c>
      <c r="B37" t="n">
        <v>114</v>
      </c>
    </row>
    <row r="38">
      <c r="A38" t="inlineStr">
        <is>
          <t>Other manufacturing</t>
        </is>
      </c>
      <c r="B38" t="n">
        <v>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</cols>
  <sheetData>
    <row r="1">
      <c r="A1" s="3" t="inlineStr">
        <is>
          <t>Armenia Merchandise Imports by Sector, 2023 (mln AMD)</t>
        </is>
      </c>
    </row>
    <row r="3">
      <c r="A3" s="1" t="inlineStr">
        <is>
          <t>Sector</t>
        </is>
      </c>
      <c r="B3" s="1" t="inlineStr">
        <is>
          <t>Import Value</t>
        </is>
      </c>
      <c r="C3" s="1" t="inlineStr">
        <is>
          <t>Domestic Output</t>
        </is>
      </c>
    </row>
    <row r="4">
      <c r="A4" t="inlineStr">
        <is>
          <t>Mining and quarrying</t>
        </is>
      </c>
      <c r="B4" t="n">
        <v>420</v>
      </c>
      <c r="C4" t="n">
        <v>4200</v>
      </c>
    </row>
    <row r="5">
      <c r="A5" t="inlineStr">
        <is>
          <t>Agriculture</t>
        </is>
      </c>
      <c r="B5" t="n">
        <v>224</v>
      </c>
      <c r="C5" t="n">
        <v>2090</v>
      </c>
    </row>
    <row r="6">
      <c r="A6" t="inlineStr">
        <is>
          <t>Food and beverages</t>
        </is>
      </c>
      <c r="B6" t="n">
        <v>132</v>
      </c>
      <c r="C6" t="n">
        <v>3500</v>
      </c>
    </row>
    <row r="7">
      <c r="A7" t="inlineStr">
        <is>
          <t>Tobacco</t>
        </is>
      </c>
      <c r="B7" t="n">
        <v>380</v>
      </c>
      <c r="C7" t="n">
        <v>933</v>
      </c>
    </row>
    <row r="8">
      <c r="A8" t="inlineStr">
        <is>
          <t>Textiles raw</t>
        </is>
      </c>
      <c r="B8" t="n">
        <v>121</v>
      </c>
      <c r="C8" t="n">
        <v>2522</v>
      </c>
    </row>
    <row r="9">
      <c r="A9" t="inlineStr">
        <is>
          <t>Metals and ores</t>
        </is>
      </c>
      <c r="B9" t="n">
        <v>147</v>
      </c>
      <c r="C9" t="n">
        <v>2800</v>
      </c>
    </row>
    <row r="10">
      <c r="A10" t="inlineStr">
        <is>
          <t>Chemical products</t>
        </is>
      </c>
      <c r="B10" t="n">
        <v>157</v>
      </c>
      <c r="C10" t="n">
        <v>539</v>
      </c>
    </row>
    <row r="11">
      <c r="A11" t="inlineStr">
        <is>
          <t>Rubber and plastics</t>
        </is>
      </c>
      <c r="B11" t="n">
        <v>510</v>
      </c>
      <c r="C11" t="n">
        <v>2365</v>
      </c>
    </row>
    <row r="12">
      <c r="A12" t="inlineStr">
        <is>
          <t>Non-metallic minerals</t>
        </is>
      </c>
      <c r="B12" t="n">
        <v>419</v>
      </c>
      <c r="C12" t="n">
        <v>2974</v>
      </c>
    </row>
    <row r="13">
      <c r="A13" t="inlineStr">
        <is>
          <t>Basic metals</t>
        </is>
      </c>
      <c r="B13" t="n">
        <v>74</v>
      </c>
      <c r="C13" t="n">
        <v>559</v>
      </c>
    </row>
    <row r="14">
      <c r="A14" t="inlineStr">
        <is>
          <t>Textiles and apparel</t>
        </is>
      </c>
      <c r="B14" t="n">
        <v>158</v>
      </c>
      <c r="C14" t="n">
        <v>2100</v>
      </c>
    </row>
    <row r="15">
      <c r="A15" t="inlineStr">
        <is>
          <t>Wood products</t>
        </is>
      </c>
      <c r="B15" t="n">
        <v>403</v>
      </c>
      <c r="C15" t="n">
        <v>1495</v>
      </c>
    </row>
    <row r="16">
      <c r="A16" t="inlineStr">
        <is>
          <t>Paper and printing</t>
        </is>
      </c>
      <c r="B16" t="n">
        <v>226</v>
      </c>
      <c r="C16" t="n">
        <v>1849</v>
      </c>
    </row>
    <row r="17">
      <c r="A17" t="inlineStr">
        <is>
          <t>Coke and petroleum</t>
        </is>
      </c>
      <c r="B17" t="n">
        <v>301</v>
      </c>
      <c r="C17" t="n">
        <v>374</v>
      </c>
    </row>
    <row r="18">
      <c r="A18" t="inlineStr">
        <is>
          <t>Pharmaceuticals</t>
        </is>
      </c>
      <c r="B18" t="n">
        <v>380</v>
      </c>
      <c r="C18" t="n">
        <v>1303</v>
      </c>
    </row>
    <row r="19">
      <c r="A19" t="inlineStr">
        <is>
          <t>Machinery and equipment</t>
        </is>
      </c>
      <c r="B19" t="n">
        <v>890</v>
      </c>
      <c r="C19" t="n">
        <v>2485</v>
      </c>
    </row>
    <row r="20">
      <c r="A20" t="inlineStr">
        <is>
          <t>Electrical equipment</t>
        </is>
      </c>
      <c r="B20" t="n">
        <v>305</v>
      </c>
      <c r="C20" t="n">
        <v>231</v>
      </c>
    </row>
    <row r="21">
      <c r="A21" t="inlineStr">
        <is>
          <t>Motor vehicles</t>
        </is>
      </c>
      <c r="B21" t="n">
        <v>1200</v>
      </c>
      <c r="C21" t="n">
        <v>1941</v>
      </c>
    </row>
    <row r="22">
      <c r="A22" t="inlineStr">
        <is>
          <t>Other transport</t>
        </is>
      </c>
      <c r="B22" t="n">
        <v>349</v>
      </c>
      <c r="C22" t="n">
        <v>1034</v>
      </c>
    </row>
    <row r="23">
      <c r="A23" t="inlineStr">
        <is>
          <t>Furniture</t>
        </is>
      </c>
      <c r="B23" t="n">
        <v>280</v>
      </c>
      <c r="C23" t="n">
        <v>1684</v>
      </c>
    </row>
    <row r="24">
      <c r="A24" t="inlineStr">
        <is>
          <t>ICT services</t>
        </is>
      </c>
      <c r="B24" t="n">
        <v>132</v>
      </c>
      <c r="C24" t="n">
        <v>2388</v>
      </c>
    </row>
    <row r="25">
      <c r="A25" t="inlineStr">
        <is>
          <t>Financial services</t>
        </is>
      </c>
      <c r="B25" t="n">
        <v>245</v>
      </c>
      <c r="C25" t="n">
        <v>531</v>
      </c>
    </row>
    <row r="26">
      <c r="A26" t="inlineStr">
        <is>
          <t>Construction materials</t>
        </is>
      </c>
      <c r="B26" t="n">
        <v>399</v>
      </c>
      <c r="C26" t="n">
        <v>2092</v>
      </c>
    </row>
    <row r="27">
      <c r="A27" t="inlineStr">
        <is>
          <t>Gems and jewelry</t>
        </is>
      </c>
      <c r="B27" t="n">
        <v>343</v>
      </c>
      <c r="C27" t="n">
        <v>2324</v>
      </c>
    </row>
    <row r="28">
      <c r="A28" t="inlineStr">
        <is>
          <t>Beverages (alcoholic)</t>
        </is>
      </c>
      <c r="B28" t="n">
        <v>331</v>
      </c>
      <c r="C28" t="n">
        <v>1011</v>
      </c>
    </row>
    <row r="29">
      <c r="A29" t="inlineStr">
        <is>
          <t>Leather products</t>
        </is>
      </c>
      <c r="B29" t="n">
        <v>140</v>
      </c>
      <c r="C29" t="n">
        <v>2680</v>
      </c>
    </row>
    <row r="30">
      <c r="A30" t="inlineStr">
        <is>
          <t>Glass products</t>
        </is>
      </c>
      <c r="B30" t="n">
        <v>435</v>
      </c>
      <c r="C30" t="n">
        <v>2095</v>
      </c>
    </row>
    <row r="31">
      <c r="A31" t="inlineStr">
        <is>
          <t>Ceramic products</t>
        </is>
      </c>
      <c r="B31" t="n">
        <v>491</v>
      </c>
      <c r="C31" t="n">
        <v>410</v>
      </c>
    </row>
    <row r="32">
      <c r="A32" t="inlineStr">
        <is>
          <t>Precision instruments</t>
        </is>
      </c>
      <c r="B32" t="n">
        <v>433</v>
      </c>
      <c r="C32" t="n">
        <v>1664</v>
      </c>
    </row>
    <row r="33">
      <c r="A33" t="inlineStr">
        <is>
          <t>Weapons and ammunition</t>
        </is>
      </c>
      <c r="B33" t="n">
        <v>221</v>
      </c>
      <c r="C33" t="n">
        <v>728</v>
      </c>
    </row>
    <row r="34">
      <c r="A34" t="inlineStr">
        <is>
          <t>Recycled materials</t>
        </is>
      </c>
      <c r="B34" t="n">
        <v>451</v>
      </c>
      <c r="C34" t="n">
        <v>1084</v>
      </c>
    </row>
    <row r="35">
      <c r="A35" t="inlineStr">
        <is>
          <t>Energy products</t>
        </is>
      </c>
      <c r="B35" t="n">
        <v>228</v>
      </c>
      <c r="C35" t="n">
        <v>858</v>
      </c>
    </row>
    <row r="36">
      <c r="A36" t="inlineStr">
        <is>
          <t>Water supply</t>
        </is>
      </c>
      <c r="B36" t="n">
        <v>471</v>
      </c>
      <c r="C36" t="n">
        <v>2009</v>
      </c>
    </row>
    <row r="37">
      <c r="A37" t="inlineStr">
        <is>
          <t>Waste management</t>
        </is>
      </c>
      <c r="B37" t="n">
        <v>379</v>
      </c>
      <c r="C37" t="n">
        <v>2638</v>
      </c>
    </row>
    <row r="38">
      <c r="A38" t="inlineStr">
        <is>
          <t>Other manufacturing</t>
        </is>
      </c>
      <c r="B38" t="n">
        <v>138</v>
      </c>
      <c r="C38" t="n">
        <v>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4" t="inlineStr">
        <is>
          <t>Trade Structure Calculation</t>
        </is>
      </c>
    </row>
    <row r="3">
      <c r="A3" s="1" t="inlineStr">
        <is>
          <t>Sector</t>
        </is>
      </c>
      <c r="B3" s="1" t="inlineStr">
        <is>
          <t>Exports (mln AMD)</t>
        </is>
      </c>
      <c r="C3" s="1" t="inlineStr">
        <is>
          <t>Imports (mln AMD)</t>
        </is>
      </c>
      <c r="D3" s="1" t="inlineStr">
        <is>
          <t>Total Output (mln AMD)</t>
        </is>
      </c>
      <c r="E3" s="1" t="inlineStr">
        <is>
          <t>Net Exports (mln AMD)</t>
        </is>
      </c>
      <c r="F3" s="1" t="inlineStr">
        <is>
          <t>Export share of output</t>
        </is>
      </c>
    </row>
    <row r="4">
      <c r="A4">
        <f>'EXPORTS-2023'!A4</f>
        <v/>
      </c>
      <c r="B4">
        <f>'EXPORTS-2023'!B4</f>
        <v/>
      </c>
      <c r="C4">
        <f>'IMPORTS-2023'!B4</f>
        <v/>
      </c>
      <c r="D4">
        <f>'IMPORTS-2023'!C4</f>
        <v/>
      </c>
      <c r="E4">
        <f>B4-C4</f>
        <v/>
      </c>
      <c r="F4" s="2">
        <f>IF(D4=0,0,B4/D4)</f>
        <v/>
      </c>
    </row>
    <row r="5">
      <c r="A5">
        <f>'EXPORTS-2023'!A5</f>
        <v/>
      </c>
      <c r="B5">
        <f>'EXPORTS-2023'!B5</f>
        <v/>
      </c>
      <c r="C5">
        <f>'IMPORTS-2023'!B5</f>
        <v/>
      </c>
      <c r="D5">
        <f>'IMPORTS-2023'!C5</f>
        <v/>
      </c>
      <c r="E5">
        <f>B5-C5</f>
        <v/>
      </c>
      <c r="F5" s="2">
        <f>IF(D5=0,0,B5/D5)</f>
        <v/>
      </c>
    </row>
    <row r="6">
      <c r="A6">
        <f>'EXPORTS-2023'!A6</f>
        <v/>
      </c>
      <c r="B6">
        <f>'EXPORTS-2023'!B6</f>
        <v/>
      </c>
      <c r="C6">
        <f>'IMPORTS-2023'!B6</f>
        <v/>
      </c>
      <c r="D6">
        <f>'IMPORTS-2023'!C6</f>
        <v/>
      </c>
      <c r="E6">
        <f>B6-C6</f>
        <v/>
      </c>
      <c r="F6" s="2">
        <f>IF(D6=0,0,B6/D6)</f>
        <v/>
      </c>
    </row>
    <row r="7">
      <c r="A7">
        <f>'EXPORTS-2023'!A7</f>
        <v/>
      </c>
      <c r="B7">
        <f>'EXPORTS-2023'!B7</f>
        <v/>
      </c>
      <c r="C7">
        <f>'IMPORTS-2023'!B7</f>
        <v/>
      </c>
      <c r="D7">
        <f>'IMPORTS-2023'!C7</f>
        <v/>
      </c>
      <c r="E7">
        <f>B7-C7</f>
        <v/>
      </c>
      <c r="F7" s="2">
        <f>IF(D7=0,0,B7/D7)</f>
        <v/>
      </c>
    </row>
    <row r="8">
      <c r="A8">
        <f>'EXPORTS-2023'!A8</f>
        <v/>
      </c>
      <c r="B8">
        <f>'EXPORTS-2023'!B8</f>
        <v/>
      </c>
      <c r="C8">
        <f>'IMPORTS-2023'!B8</f>
        <v/>
      </c>
      <c r="D8">
        <f>'IMPORTS-2023'!C8</f>
        <v/>
      </c>
      <c r="E8">
        <f>B8-C8</f>
        <v/>
      </c>
      <c r="F8" s="2">
        <f>IF(D8=0,0,B8/D8)</f>
        <v/>
      </c>
    </row>
    <row r="9">
      <c r="A9">
        <f>'EXPORTS-2023'!A9</f>
        <v/>
      </c>
      <c r="B9">
        <f>'EXPORTS-2023'!B9</f>
        <v/>
      </c>
      <c r="C9">
        <f>'IMPORTS-2023'!B9</f>
        <v/>
      </c>
      <c r="D9">
        <f>'IMPORTS-2023'!C9</f>
        <v/>
      </c>
      <c r="E9">
        <f>B9-C9</f>
        <v/>
      </c>
      <c r="F9" s="2">
        <f>IF(D9=0,0,B9/D9)</f>
        <v/>
      </c>
    </row>
    <row r="10">
      <c r="A10">
        <f>'EXPORTS-2023'!A10</f>
        <v/>
      </c>
      <c r="B10">
        <f>'EXPORTS-2023'!B10</f>
        <v/>
      </c>
      <c r="C10">
        <f>'IMPORTS-2023'!B10</f>
        <v/>
      </c>
      <c r="D10">
        <f>'IMPORTS-2023'!C10</f>
        <v/>
      </c>
      <c r="E10">
        <f>B10-C10</f>
        <v/>
      </c>
      <c r="F10" s="2">
        <f>IF(D10=0,0,B10/D10)</f>
        <v/>
      </c>
    </row>
    <row r="11">
      <c r="A11">
        <f>'EXPORTS-2023'!A11</f>
        <v/>
      </c>
      <c r="B11">
        <f>'EXPORTS-2023'!B11</f>
        <v/>
      </c>
      <c r="C11">
        <f>'IMPORTS-2023'!B11</f>
        <v/>
      </c>
      <c r="D11">
        <f>'IMPORTS-2023'!C11</f>
        <v/>
      </c>
      <c r="E11">
        <f>B11-C11</f>
        <v/>
      </c>
      <c r="F11" s="2">
        <f>IF(D11=0,0,B11/D11)</f>
        <v/>
      </c>
    </row>
    <row r="12">
      <c r="A12">
        <f>'EXPORTS-2023'!A12</f>
        <v/>
      </c>
      <c r="B12">
        <f>'EXPORTS-2023'!B12</f>
        <v/>
      </c>
      <c r="C12">
        <f>'IMPORTS-2023'!B12</f>
        <v/>
      </c>
      <c r="D12">
        <f>'IMPORTS-2023'!C12</f>
        <v/>
      </c>
      <c r="E12">
        <f>B12-C12</f>
        <v/>
      </c>
      <c r="F12" s="2">
        <f>IF(D12=0,0,B12/D12)</f>
        <v/>
      </c>
    </row>
    <row r="13">
      <c r="A13">
        <f>'EXPORTS-2023'!A13</f>
        <v/>
      </c>
      <c r="B13">
        <f>'EXPORTS-2023'!B13</f>
        <v/>
      </c>
      <c r="C13">
        <f>'IMPORTS-2023'!B13</f>
        <v/>
      </c>
      <c r="D13">
        <f>'IMPORTS-2023'!C13</f>
        <v/>
      </c>
      <c r="E13">
        <f>B13-C13</f>
        <v/>
      </c>
      <c r="F13" s="2">
        <f>IF(D13=0,0,B13/D13)</f>
        <v/>
      </c>
    </row>
    <row r="14">
      <c r="A14">
        <f>'EXPORTS-2023'!A14</f>
        <v/>
      </c>
      <c r="B14">
        <f>'EXPORTS-2023'!B14</f>
        <v/>
      </c>
      <c r="C14">
        <f>'IMPORTS-2023'!B14</f>
        <v/>
      </c>
      <c r="D14">
        <f>'IMPORTS-2023'!C14</f>
        <v/>
      </c>
      <c r="E14">
        <f>B14-C14</f>
        <v/>
      </c>
      <c r="F14" s="2">
        <f>IF(D14=0,0,B14/D14)</f>
        <v/>
      </c>
    </row>
    <row r="15">
      <c r="A15">
        <f>'EXPORTS-2023'!A15</f>
        <v/>
      </c>
      <c r="B15">
        <f>'EXPORTS-2023'!B15</f>
        <v/>
      </c>
      <c r="C15">
        <f>'IMPORTS-2023'!B15</f>
        <v/>
      </c>
      <c r="D15">
        <f>'IMPORTS-2023'!C15</f>
        <v/>
      </c>
      <c r="E15">
        <f>B15-C15</f>
        <v/>
      </c>
      <c r="F15" s="2">
        <f>IF(D15=0,0,B15/D15)</f>
        <v/>
      </c>
    </row>
    <row r="16">
      <c r="A16">
        <f>'EXPORTS-2023'!A16</f>
        <v/>
      </c>
      <c r="B16">
        <f>'EXPORTS-2023'!B16</f>
        <v/>
      </c>
      <c r="C16">
        <f>'IMPORTS-2023'!B16</f>
        <v/>
      </c>
      <c r="D16">
        <f>'IMPORTS-2023'!C16</f>
        <v/>
      </c>
      <c r="E16">
        <f>B16-C16</f>
        <v/>
      </c>
      <c r="F16" s="2">
        <f>IF(D16=0,0,B16/D16)</f>
        <v/>
      </c>
    </row>
    <row r="17">
      <c r="A17">
        <f>'EXPORTS-2023'!A17</f>
        <v/>
      </c>
      <c r="B17">
        <f>'EXPORTS-2023'!B17</f>
        <v/>
      </c>
      <c r="C17">
        <f>'IMPORTS-2023'!B17</f>
        <v/>
      </c>
      <c r="D17">
        <f>'IMPORTS-2023'!C17</f>
        <v/>
      </c>
      <c r="E17">
        <f>B17-C17</f>
        <v/>
      </c>
      <c r="F17" s="2">
        <f>IF(D17=0,0,B17/D17)</f>
        <v/>
      </c>
    </row>
    <row r="18">
      <c r="A18">
        <f>'EXPORTS-2023'!A18</f>
        <v/>
      </c>
      <c r="B18">
        <f>'EXPORTS-2023'!B18</f>
        <v/>
      </c>
      <c r="C18">
        <f>'IMPORTS-2023'!B18</f>
        <v/>
      </c>
      <c r="D18">
        <f>'IMPORTS-2023'!C18</f>
        <v/>
      </c>
      <c r="E18">
        <f>B18-C18</f>
        <v/>
      </c>
      <c r="F18" s="2">
        <f>IF(D18=0,0,B18/D18)</f>
        <v/>
      </c>
    </row>
    <row r="19">
      <c r="A19">
        <f>'EXPORTS-2023'!A19</f>
        <v/>
      </c>
      <c r="B19">
        <f>'EXPORTS-2023'!B19</f>
        <v/>
      </c>
      <c r="C19">
        <f>'IMPORTS-2023'!B19</f>
        <v/>
      </c>
      <c r="D19">
        <f>'IMPORTS-2023'!C19</f>
        <v/>
      </c>
      <c r="E19">
        <f>B19-C19</f>
        <v/>
      </c>
      <c r="F19" s="2">
        <f>IF(D19=0,0,B19/D19)</f>
        <v/>
      </c>
    </row>
    <row r="20">
      <c r="A20">
        <f>'EXPORTS-2023'!A20</f>
        <v/>
      </c>
      <c r="B20">
        <f>'EXPORTS-2023'!B20</f>
        <v/>
      </c>
      <c r="C20">
        <f>'IMPORTS-2023'!B20</f>
        <v/>
      </c>
      <c r="D20">
        <f>'IMPORTS-2023'!C20</f>
        <v/>
      </c>
      <c r="E20">
        <f>B20-C20</f>
        <v/>
      </c>
      <c r="F20" s="2">
        <f>IF(D20=0,0,B20/D20)</f>
        <v/>
      </c>
    </row>
    <row r="21">
      <c r="A21">
        <f>'EXPORTS-2023'!A21</f>
        <v/>
      </c>
      <c r="B21">
        <f>'EXPORTS-2023'!B21</f>
        <v/>
      </c>
      <c r="C21">
        <f>'IMPORTS-2023'!B21</f>
        <v/>
      </c>
      <c r="D21">
        <f>'IMPORTS-2023'!C21</f>
        <v/>
      </c>
      <c r="E21">
        <f>B21-C21</f>
        <v/>
      </c>
      <c r="F21" s="2">
        <f>IF(D21=0,0,B21/D21)</f>
        <v/>
      </c>
    </row>
    <row r="22">
      <c r="A22">
        <f>'EXPORTS-2023'!A22</f>
        <v/>
      </c>
      <c r="B22">
        <f>'EXPORTS-2023'!B22</f>
        <v/>
      </c>
      <c r="C22">
        <f>'IMPORTS-2023'!B22</f>
        <v/>
      </c>
      <c r="D22">
        <f>'IMPORTS-2023'!C22</f>
        <v/>
      </c>
      <c r="E22">
        <f>B22-C22</f>
        <v/>
      </c>
      <c r="F22" s="2">
        <f>IF(D22=0,0,B22/D22)</f>
        <v/>
      </c>
    </row>
    <row r="23">
      <c r="A23">
        <f>'EXPORTS-2023'!A23</f>
        <v/>
      </c>
      <c r="B23">
        <f>'EXPORTS-2023'!B23</f>
        <v/>
      </c>
      <c r="C23">
        <f>'IMPORTS-2023'!B23</f>
        <v/>
      </c>
      <c r="D23">
        <f>'IMPORTS-2023'!C23</f>
        <v/>
      </c>
      <c r="E23">
        <f>B23-C23</f>
        <v/>
      </c>
      <c r="F23" s="2">
        <f>IF(D23=0,0,B23/D23)</f>
        <v/>
      </c>
    </row>
    <row r="24">
      <c r="A24">
        <f>'EXPORTS-2023'!A24</f>
        <v/>
      </c>
      <c r="B24">
        <f>'EXPORTS-2023'!B24</f>
        <v/>
      </c>
      <c r="C24">
        <f>'IMPORTS-2023'!B24</f>
        <v/>
      </c>
      <c r="D24">
        <f>'IMPORTS-2023'!C24</f>
        <v/>
      </c>
      <c r="E24">
        <f>B24-C24</f>
        <v/>
      </c>
      <c r="F24" s="2">
        <f>IF(D24=0,0,B24/D24)</f>
        <v/>
      </c>
    </row>
    <row r="25">
      <c r="A25">
        <f>'EXPORTS-2023'!A25</f>
        <v/>
      </c>
      <c r="B25">
        <f>'EXPORTS-2023'!B25</f>
        <v/>
      </c>
      <c r="C25">
        <f>'IMPORTS-2023'!B25</f>
        <v/>
      </c>
      <c r="D25">
        <f>'IMPORTS-2023'!C25</f>
        <v/>
      </c>
      <c r="E25">
        <f>B25-C25</f>
        <v/>
      </c>
      <c r="F25" s="2">
        <f>IF(D25=0,0,B25/D25)</f>
        <v/>
      </c>
    </row>
    <row r="26">
      <c r="A26">
        <f>'EXPORTS-2023'!A26</f>
        <v/>
      </c>
      <c r="B26">
        <f>'EXPORTS-2023'!B26</f>
        <v/>
      </c>
      <c r="C26">
        <f>'IMPORTS-2023'!B26</f>
        <v/>
      </c>
      <c r="D26">
        <f>'IMPORTS-2023'!C26</f>
        <v/>
      </c>
      <c r="E26">
        <f>B26-C26</f>
        <v/>
      </c>
      <c r="F26" s="2">
        <f>IF(D26=0,0,B26/D26)</f>
        <v/>
      </c>
    </row>
    <row r="27">
      <c r="A27">
        <f>'EXPORTS-2023'!A27</f>
        <v/>
      </c>
      <c r="B27">
        <f>'EXPORTS-2023'!B27</f>
        <v/>
      </c>
      <c r="C27">
        <f>'IMPORTS-2023'!B27</f>
        <v/>
      </c>
      <c r="D27">
        <f>'IMPORTS-2023'!C27</f>
        <v/>
      </c>
      <c r="E27">
        <f>B27-C27</f>
        <v/>
      </c>
      <c r="F27" s="2">
        <f>IF(D27=0,0,B27/D27)</f>
        <v/>
      </c>
    </row>
    <row r="28">
      <c r="A28">
        <f>'EXPORTS-2023'!A28</f>
        <v/>
      </c>
      <c r="B28">
        <f>'EXPORTS-2023'!B28</f>
        <v/>
      </c>
      <c r="C28">
        <f>'IMPORTS-2023'!B28</f>
        <v/>
      </c>
      <c r="D28">
        <f>'IMPORTS-2023'!C28</f>
        <v/>
      </c>
      <c r="E28">
        <f>B28-C28</f>
        <v/>
      </c>
      <c r="F28" s="2">
        <f>IF(D28=0,0,B28/D28)</f>
        <v/>
      </c>
    </row>
    <row r="29">
      <c r="A29">
        <f>'EXPORTS-2023'!A29</f>
        <v/>
      </c>
      <c r="B29">
        <f>'EXPORTS-2023'!B29</f>
        <v/>
      </c>
      <c r="C29">
        <f>'IMPORTS-2023'!B29</f>
        <v/>
      </c>
      <c r="D29">
        <f>'IMPORTS-2023'!C29</f>
        <v/>
      </c>
      <c r="E29">
        <f>B29-C29</f>
        <v/>
      </c>
      <c r="F29" s="2">
        <f>IF(D29=0,0,B29/D29)</f>
        <v/>
      </c>
    </row>
    <row r="30">
      <c r="A30">
        <f>'EXPORTS-2023'!A30</f>
        <v/>
      </c>
      <c r="B30">
        <f>'EXPORTS-2023'!B30</f>
        <v/>
      </c>
      <c r="C30">
        <f>'IMPORTS-2023'!B30</f>
        <v/>
      </c>
      <c r="D30">
        <f>'IMPORTS-2023'!C30</f>
        <v/>
      </c>
      <c r="E30">
        <f>B30-C30</f>
        <v/>
      </c>
      <c r="F30" s="2">
        <f>IF(D30=0,0,B30/D30)</f>
        <v/>
      </c>
    </row>
    <row r="31">
      <c r="A31">
        <f>'EXPORTS-2023'!A31</f>
        <v/>
      </c>
      <c r="B31">
        <f>'EXPORTS-2023'!B31</f>
        <v/>
      </c>
      <c r="C31">
        <f>'IMPORTS-2023'!B31</f>
        <v/>
      </c>
      <c r="D31">
        <f>'IMPORTS-2023'!C31</f>
        <v/>
      </c>
      <c r="E31">
        <f>B31-C31</f>
        <v/>
      </c>
      <c r="F31" s="2">
        <f>IF(D31=0,0,B31/D31)</f>
        <v/>
      </c>
    </row>
    <row r="32">
      <c r="A32">
        <f>'EXPORTS-2023'!A32</f>
        <v/>
      </c>
      <c r="B32">
        <f>'EXPORTS-2023'!B32</f>
        <v/>
      </c>
      <c r="C32">
        <f>'IMPORTS-2023'!B32</f>
        <v/>
      </c>
      <c r="D32">
        <f>'IMPORTS-2023'!C32</f>
        <v/>
      </c>
      <c r="E32">
        <f>B32-C32</f>
        <v/>
      </c>
      <c r="F32" s="2">
        <f>IF(D32=0,0,B32/D32)</f>
        <v/>
      </c>
    </row>
    <row r="33">
      <c r="A33">
        <f>'EXPORTS-2023'!A33</f>
        <v/>
      </c>
      <c r="B33">
        <f>'EXPORTS-2023'!B33</f>
        <v/>
      </c>
      <c r="C33">
        <f>'IMPORTS-2023'!B33</f>
        <v/>
      </c>
      <c r="D33">
        <f>'IMPORTS-2023'!C33</f>
        <v/>
      </c>
      <c r="E33">
        <f>B33-C33</f>
        <v/>
      </c>
      <c r="F33" s="2">
        <f>IF(D33=0,0,B33/D33)</f>
        <v/>
      </c>
    </row>
    <row r="34">
      <c r="A34">
        <f>'EXPORTS-2023'!A34</f>
        <v/>
      </c>
      <c r="B34">
        <f>'EXPORTS-2023'!B34</f>
        <v/>
      </c>
      <c r="C34">
        <f>'IMPORTS-2023'!B34</f>
        <v/>
      </c>
      <c r="D34">
        <f>'IMPORTS-2023'!C34</f>
        <v/>
      </c>
      <c r="E34">
        <f>B34-C34</f>
        <v/>
      </c>
      <c r="F34" s="2">
        <f>IF(D34=0,0,B34/D34)</f>
        <v/>
      </c>
    </row>
    <row r="35">
      <c r="A35">
        <f>'EXPORTS-2023'!A35</f>
        <v/>
      </c>
      <c r="B35">
        <f>'EXPORTS-2023'!B35</f>
        <v/>
      </c>
      <c r="C35">
        <f>'IMPORTS-2023'!B35</f>
        <v/>
      </c>
      <c r="D35">
        <f>'IMPORTS-2023'!C35</f>
        <v/>
      </c>
      <c r="E35">
        <f>B35-C35</f>
        <v/>
      </c>
      <c r="F35" s="2">
        <f>IF(D35=0,0,B35/D35)</f>
        <v/>
      </c>
    </row>
    <row r="36">
      <c r="A36">
        <f>'EXPORTS-2023'!A36</f>
        <v/>
      </c>
      <c r="B36">
        <f>'EXPORTS-2023'!B36</f>
        <v/>
      </c>
      <c r="C36">
        <f>'IMPORTS-2023'!B36</f>
        <v/>
      </c>
      <c r="D36">
        <f>'IMPORTS-2023'!C36</f>
        <v/>
      </c>
      <c r="E36">
        <f>B36-C36</f>
        <v/>
      </c>
      <c r="F36" s="2">
        <f>IF(D36=0,0,B36/D36)</f>
        <v/>
      </c>
    </row>
    <row r="37">
      <c r="A37">
        <f>'EXPORTS-2023'!A37</f>
        <v/>
      </c>
      <c r="B37">
        <f>'EXPORTS-2023'!B37</f>
        <v/>
      </c>
      <c r="C37">
        <f>'IMPORTS-2023'!B37</f>
        <v/>
      </c>
      <c r="D37">
        <f>'IMPORTS-2023'!C37</f>
        <v/>
      </c>
      <c r="E37">
        <f>B37-C37</f>
        <v/>
      </c>
      <c r="F37" s="2">
        <f>IF(D37=0,0,B37/D37)</f>
        <v/>
      </c>
    </row>
    <row r="38">
      <c r="A38">
        <f>'EXPORTS-2023'!A38</f>
        <v/>
      </c>
      <c r="B38">
        <f>'EXPORTS-2023'!B38</f>
        <v/>
      </c>
      <c r="C38">
        <f>'IMPORTS-2023'!B38</f>
        <v/>
      </c>
      <c r="D38">
        <f>'IMPORTS-2023'!C38</f>
        <v/>
      </c>
      <c r="E38">
        <f>B38-C38</f>
        <v/>
      </c>
      <c r="F38" s="2">
        <f>IF(D38=0,0,B38/D38)</f>
        <v/>
      </c>
    </row>
    <row r="40">
      <c r="A40" s="3" t="inlineStr">
        <is>
          <t>TOTAL</t>
        </is>
      </c>
      <c r="B40">
        <f>SUM(B4:B38)</f>
        <v/>
      </c>
      <c r="C40">
        <f>SUM(C4:C38)</f>
        <v/>
      </c>
      <c r="D40">
        <f>SUM(D4:D38)</f>
        <v/>
      </c>
      <c r="E40">
        <f>SUM(E4:E38)</f>
        <v/>
      </c>
      <c r="F40" s="2">
        <f>IF(D40=0,0,B40/D40)</f>
        <v/>
      </c>
    </row>
    <row r="43">
      <c r="A43" s="3" t="inlineStr">
        <is>
          <t>Export dependency ratio</t>
        </is>
      </c>
      <c r="C43" s="2">
        <f>B40/D40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5" t="inlineStr">
        <is>
          <t>Export Revenue Shock – Armenia</t>
        </is>
      </c>
    </row>
    <row r="3">
      <c r="A3" s="1" t="inlineStr">
        <is>
          <t>Year</t>
        </is>
      </c>
      <c r="B3" s="1" t="inlineStr">
        <is>
          <t>Nominal GDP (bln AMD)</t>
        </is>
      </c>
      <c r="C3" s="1" t="inlineStr">
        <is>
          <t>Real GDP growth (%)</t>
        </is>
      </c>
      <c r="D3" s="1" t="inlineStr">
        <is>
          <t>Project allocation</t>
        </is>
      </c>
      <c r="E3" s="1" t="inlineStr">
        <is>
          <t>Export shock (mln AMD)</t>
        </is>
      </c>
      <c r="F3" s="1" t="inlineStr">
        <is>
          <t>Net domestic impact (mln AMD)</t>
        </is>
      </c>
      <c r="G3" s="1" t="inlineStr">
        <is>
          <t>Shock as % of GDP</t>
        </is>
      </c>
    </row>
    <row r="4">
      <c r="A4" t="n">
        <v>2027</v>
      </c>
      <c r="B4">
        <f>WEO_Projections!B8</f>
        <v/>
      </c>
      <c r="C4" s="2">
        <f>WEO_Projections!C8</f>
        <v/>
      </c>
      <c r="D4" s="2" t="n">
        <v>0.08</v>
      </c>
      <c r="E4" s="6">
        <f>D$13*D4</f>
        <v/>
      </c>
      <c r="F4" s="6">
        <f>E4*(1-D$14)*D$15</f>
        <v/>
      </c>
      <c r="G4" s="2">
        <f>F4/(B4*1000)</f>
        <v/>
      </c>
    </row>
    <row r="5">
      <c r="A5" t="n">
        <v>2028</v>
      </c>
      <c r="B5">
        <f>WEO_Projections!B9</f>
        <v/>
      </c>
      <c r="C5" s="2">
        <f>WEO_Projections!C9</f>
        <v/>
      </c>
      <c r="D5" s="2" t="n">
        <v>0.17</v>
      </c>
      <c r="E5" s="6">
        <f>D$13*D5</f>
        <v/>
      </c>
      <c r="F5" s="6">
        <f>E5*(1-D$14)*D$15</f>
        <v/>
      </c>
      <c r="G5" s="2">
        <f>F5/(B5*1000)</f>
        <v/>
      </c>
    </row>
    <row r="6">
      <c r="A6" t="n">
        <v>2029</v>
      </c>
      <c r="B6">
        <f>WEO_Projections!B10</f>
        <v/>
      </c>
      <c r="C6" s="2">
        <f>WEO_Projections!C10</f>
        <v/>
      </c>
      <c r="D6" s="2" t="n">
        <v>0.25</v>
      </c>
      <c r="E6" s="6">
        <f>D$13*D6</f>
        <v/>
      </c>
      <c r="F6" s="6">
        <f>E6*(1-D$14)*D$15</f>
        <v/>
      </c>
      <c r="G6" s="2">
        <f>F6/(B6*1000)</f>
        <v/>
      </c>
    </row>
    <row r="7">
      <c r="A7" t="n">
        <v>2030</v>
      </c>
      <c r="B7">
        <f>WEO_Projections!B11</f>
        <v/>
      </c>
      <c r="C7" s="2">
        <f>WEO_Projections!C11</f>
        <v/>
      </c>
      <c r="D7" s="2" t="n">
        <v>0.25</v>
      </c>
      <c r="E7" s="6">
        <f>D$13*D7</f>
        <v/>
      </c>
      <c r="F7" s="6">
        <f>E7*(1-D$14)*D$15</f>
        <v/>
      </c>
      <c r="G7" s="2">
        <f>F7/(B7*1000)</f>
        <v/>
      </c>
    </row>
    <row r="8">
      <c r="A8" t="n">
        <v>2031</v>
      </c>
      <c r="B8">
        <f>WEO_Projections!B12</f>
        <v/>
      </c>
      <c r="C8" s="2">
        <f>WEO_Projections!C12</f>
        <v/>
      </c>
      <c r="D8" s="2" t="n">
        <v>0.17</v>
      </c>
      <c r="E8" s="6">
        <f>D$13*D8</f>
        <v/>
      </c>
      <c r="F8" s="6">
        <f>E8*(1-D$14)*D$15</f>
        <v/>
      </c>
      <c r="G8" s="2">
        <f>F8/(B8*1000)</f>
        <v/>
      </c>
    </row>
    <row r="9">
      <c r="A9" t="n">
        <v>2032</v>
      </c>
      <c r="B9">
        <f>WEO_Projections!B13</f>
        <v/>
      </c>
      <c r="C9" s="2">
        <f>WEO_Projections!C13</f>
        <v/>
      </c>
      <c r="D9" s="2" t="n">
        <v>0.08</v>
      </c>
      <c r="E9" s="6">
        <f>D$13*D9</f>
        <v/>
      </c>
      <c r="F9" s="6">
        <f>E9*(1-D$14)*D$15</f>
        <v/>
      </c>
      <c r="G9" s="2">
        <f>F9/(B9*1000)</f>
        <v/>
      </c>
    </row>
    <row r="12">
      <c r="A12" s="3" t="inlineStr">
        <is>
          <t>Assumptions</t>
        </is>
      </c>
    </row>
    <row r="13">
      <c r="C13" t="inlineStr">
        <is>
          <t>Total export shock (mln AMD)</t>
        </is>
      </c>
      <c r="D13">
        <f>4200*D16</f>
        <v/>
      </c>
    </row>
    <row r="14">
      <c r="C14" t="inlineStr">
        <is>
          <t>Export dependency ratio</t>
        </is>
      </c>
      <c r="D14">
        <f>'Trade_Calc'!C43</f>
        <v/>
      </c>
    </row>
    <row r="15">
      <c r="C15" t="inlineStr">
        <is>
          <t>Supply multiplier</t>
        </is>
      </c>
      <c r="D15" t="n">
        <v>0.7</v>
      </c>
    </row>
    <row r="16">
      <c r="C16" t="inlineStr">
        <is>
          <t>AMD/USD exchange rate</t>
        </is>
      </c>
      <c r="D16" t="n">
        <v>387.5</v>
      </c>
    </row>
    <row r="20">
      <c r="A20" s="4" t="inlineStr">
        <is>
          <t>Scenario 2</t>
        </is>
      </c>
    </row>
    <row r="22">
      <c r="A22" s="1" t="inlineStr">
        <is>
          <t>Year</t>
        </is>
      </c>
      <c r="B22" s="1" t="inlineStr">
        <is>
          <t>Nominal GDP (bln AMD)</t>
        </is>
      </c>
      <c r="C22" s="1" t="inlineStr">
        <is>
          <t>Real GDP growth (%)</t>
        </is>
      </c>
      <c r="D22" s="1" t="inlineStr">
        <is>
          <t>Project allocation</t>
        </is>
      </c>
      <c r="E22" s="1" t="inlineStr">
        <is>
          <t>Export shock (mln AMD)</t>
        </is>
      </c>
      <c r="F22" s="1" t="inlineStr">
        <is>
          <t>Net domestic impact (mln AMD)</t>
        </is>
      </c>
      <c r="G22" s="1" t="inlineStr">
        <is>
          <t>Shock as % of GDP</t>
        </is>
      </c>
    </row>
    <row r="23">
      <c r="A23" t="n">
        <v>2027</v>
      </c>
      <c r="B23">
        <f>WEO_Projections!B8</f>
        <v/>
      </c>
      <c r="C23" s="2">
        <f>WEO_Projections!C8</f>
        <v/>
      </c>
      <c r="D23" s="2" t="n">
        <v>0.08</v>
      </c>
      <c r="E23" s="6">
        <f>D$31*D23</f>
        <v/>
      </c>
      <c r="F23" s="6">
        <f>E23*(1-D$32)*D$33</f>
        <v/>
      </c>
      <c r="G23" s="2">
        <f>F23/(B23*1000)</f>
        <v/>
      </c>
    </row>
    <row r="24">
      <c r="A24" t="n">
        <v>2028</v>
      </c>
      <c r="B24">
        <f>WEO_Projections!B9</f>
        <v/>
      </c>
      <c r="C24" s="2">
        <f>WEO_Projections!C9</f>
        <v/>
      </c>
      <c r="D24" s="2" t="n">
        <v>0.17</v>
      </c>
      <c r="E24" s="6">
        <f>D$31*D24</f>
        <v/>
      </c>
      <c r="F24" s="6">
        <f>E24*(1-D$32)*D$33</f>
        <v/>
      </c>
      <c r="G24" s="2">
        <f>F24/(B24*1000)</f>
        <v/>
      </c>
    </row>
    <row r="25">
      <c r="A25" t="n">
        <v>2029</v>
      </c>
      <c r="B25">
        <f>WEO_Projections!B10</f>
        <v/>
      </c>
      <c r="C25" s="2">
        <f>WEO_Projections!C10</f>
        <v/>
      </c>
      <c r="D25" s="2" t="n">
        <v>0.25</v>
      </c>
      <c r="E25" s="6">
        <f>D$31*D25</f>
        <v/>
      </c>
      <c r="F25" s="6">
        <f>E25*(1-D$32)*D$33</f>
        <v/>
      </c>
      <c r="G25" s="2">
        <f>F25/(B25*1000)</f>
        <v/>
      </c>
    </row>
    <row r="26">
      <c r="A26" t="n">
        <v>2030</v>
      </c>
      <c r="B26">
        <f>WEO_Projections!B11</f>
        <v/>
      </c>
      <c r="C26" s="2">
        <f>WEO_Projections!C11</f>
        <v/>
      </c>
      <c r="D26" s="2" t="n">
        <v>0.25</v>
      </c>
      <c r="E26" s="6">
        <f>D$31*D26</f>
        <v/>
      </c>
      <c r="F26" s="6">
        <f>E26*(1-D$32)*D$33</f>
        <v/>
      </c>
      <c r="G26" s="2">
        <f>F26/(B26*1000)</f>
        <v/>
      </c>
    </row>
    <row r="27">
      <c r="A27" t="n">
        <v>2031</v>
      </c>
      <c r="B27">
        <f>WEO_Projections!B12</f>
        <v/>
      </c>
      <c r="C27" s="2">
        <f>WEO_Projections!C12</f>
        <v/>
      </c>
      <c r="D27" s="2" t="n">
        <v>0.17</v>
      </c>
      <c r="E27" s="6">
        <f>D$31*D27</f>
        <v/>
      </c>
      <c r="F27" s="6">
        <f>E27*(1-D$32)*D$33</f>
        <v/>
      </c>
      <c r="G27" s="2">
        <f>F27/(B27*1000)</f>
        <v/>
      </c>
    </row>
    <row r="28">
      <c r="A28" t="n">
        <v>2032</v>
      </c>
      <c r="B28">
        <f>WEO_Projections!B13</f>
        <v/>
      </c>
      <c r="C28" s="2">
        <f>WEO_Projections!C13</f>
        <v/>
      </c>
      <c r="D28" s="2" t="n">
        <v>0.08</v>
      </c>
      <c r="E28" s="6">
        <f>D$31*D28</f>
        <v/>
      </c>
      <c r="F28" s="6">
        <f>E28*(1-D$32)*D$33</f>
        <v/>
      </c>
      <c r="G28" s="2">
        <f>F28/(B28*1000)</f>
        <v/>
      </c>
    </row>
    <row r="30">
      <c r="A30" s="3" t="inlineStr">
        <is>
          <t>Assumptions</t>
        </is>
      </c>
    </row>
    <row r="31">
      <c r="C31" t="inlineStr">
        <is>
          <t>Total export shock (mln AMD)</t>
        </is>
      </c>
      <c r="D31">
        <f>4200*D34</f>
        <v/>
      </c>
    </row>
    <row r="32">
      <c r="C32" t="inlineStr">
        <is>
          <t>Export dependency ratio</t>
        </is>
      </c>
      <c r="D32">
        <f>'Trade_Calc'!C43</f>
        <v/>
      </c>
    </row>
    <row r="33">
      <c r="C33" t="inlineStr">
        <is>
          <t>Supply multiplier</t>
        </is>
      </c>
      <c r="D33" t="n">
        <v>0.9</v>
      </c>
    </row>
    <row r="34">
      <c r="C34" t="inlineStr">
        <is>
          <t>AMD/USD exchange rate</t>
        </is>
      </c>
      <c r="D34" t="n">
        <v>387.5</v>
      </c>
    </row>
    <row r="39">
      <c r="A39" s="4" t="inlineStr">
        <is>
          <t>Scenario 3</t>
        </is>
      </c>
    </row>
    <row r="41">
      <c r="A41" s="1" t="inlineStr">
        <is>
          <t>Year</t>
        </is>
      </c>
      <c r="B41" s="1" t="inlineStr">
        <is>
          <t>Nominal GDP (bln AMD)</t>
        </is>
      </c>
      <c r="C41" s="1" t="inlineStr">
        <is>
          <t>Real GDP growth (%)</t>
        </is>
      </c>
      <c r="D41" s="1" t="inlineStr">
        <is>
          <t>Project allocation</t>
        </is>
      </c>
      <c r="E41" s="1" t="inlineStr">
        <is>
          <t>Export shock (mln AMD)</t>
        </is>
      </c>
      <c r="F41" s="1" t="inlineStr">
        <is>
          <t>Net domestic impact (mln AMD)</t>
        </is>
      </c>
      <c r="G41" s="1" t="inlineStr">
        <is>
          <t>Shock as % of GDP</t>
        </is>
      </c>
    </row>
    <row r="42">
      <c r="A42" t="n">
        <v>2027</v>
      </c>
      <c r="B42">
        <f>WEO_Projections!B8</f>
        <v/>
      </c>
      <c r="C42" s="2">
        <f>WEO_Projections!C8</f>
        <v/>
      </c>
      <c r="D42" s="2" t="n">
        <v>0.08</v>
      </c>
      <c r="E42" s="6">
        <f>D$50*D42</f>
        <v/>
      </c>
      <c r="F42" s="6">
        <f>E42*(1-D$51)*D$52</f>
        <v/>
      </c>
      <c r="G42" s="2">
        <f>F42/(B42*1000)</f>
        <v/>
      </c>
    </row>
    <row r="43">
      <c r="A43" t="n">
        <v>2028</v>
      </c>
      <c r="B43">
        <f>WEO_Projections!B9</f>
        <v/>
      </c>
      <c r="C43" s="2">
        <f>WEO_Projections!C9</f>
        <v/>
      </c>
      <c r="D43" s="2" t="n">
        <v>0.17</v>
      </c>
      <c r="E43" s="6">
        <f>D$50*D43</f>
        <v/>
      </c>
      <c r="F43" s="6">
        <f>E43*(1-D$51)*D$52</f>
        <v/>
      </c>
      <c r="G43" s="2">
        <f>F43/(B43*1000)</f>
        <v/>
      </c>
    </row>
    <row r="44">
      <c r="A44" t="n">
        <v>2029</v>
      </c>
      <c r="B44">
        <f>WEO_Projections!B10</f>
        <v/>
      </c>
      <c r="C44" s="2">
        <f>WEO_Projections!C10</f>
        <v/>
      </c>
      <c r="D44" s="2" t="n">
        <v>0.25</v>
      </c>
      <c r="E44" s="6">
        <f>D$50*D44</f>
        <v/>
      </c>
      <c r="F44" s="6">
        <f>E44*(1-D$51)*D$52</f>
        <v/>
      </c>
      <c r="G44" s="2">
        <f>F44/(B44*1000)</f>
        <v/>
      </c>
    </row>
    <row r="45">
      <c r="A45" t="n">
        <v>2030</v>
      </c>
      <c r="B45">
        <f>WEO_Projections!B11</f>
        <v/>
      </c>
      <c r="C45" s="2">
        <f>WEO_Projections!C11</f>
        <v/>
      </c>
      <c r="D45" s="2" t="n">
        <v>0.25</v>
      </c>
      <c r="E45" s="6">
        <f>D$50*D45</f>
        <v/>
      </c>
      <c r="F45" s="6">
        <f>E45*(1-D$51)*D$52</f>
        <v/>
      </c>
      <c r="G45" s="2">
        <f>F45/(B45*1000)</f>
        <v/>
      </c>
    </row>
    <row r="46">
      <c r="A46" t="n">
        <v>2031</v>
      </c>
      <c r="B46">
        <f>WEO_Projections!B12</f>
        <v/>
      </c>
      <c r="C46" s="2">
        <f>WEO_Projections!C12</f>
        <v/>
      </c>
      <c r="D46" s="2" t="n">
        <v>0.17</v>
      </c>
      <c r="E46" s="6">
        <f>D$50*D46</f>
        <v/>
      </c>
      <c r="F46" s="6">
        <f>E46*(1-D$51)*D$52</f>
        <v/>
      </c>
      <c r="G46" s="2">
        <f>F46/(B46*1000)</f>
        <v/>
      </c>
    </row>
    <row r="47">
      <c r="A47" t="n">
        <v>2032</v>
      </c>
      <c r="B47">
        <f>WEO_Projections!B13</f>
        <v/>
      </c>
      <c r="C47" s="2">
        <f>WEO_Projections!C13</f>
        <v/>
      </c>
      <c r="D47" s="2" t="n">
        <v>0.08</v>
      </c>
      <c r="E47" s="6">
        <f>D$50*D47</f>
        <v/>
      </c>
      <c r="F47" s="6">
        <f>E47*(1-D$51)*D$52</f>
        <v/>
      </c>
      <c r="G47" s="2">
        <f>F47/(B47*1000)</f>
        <v/>
      </c>
    </row>
    <row r="49">
      <c r="A49" s="3" t="inlineStr">
        <is>
          <t>Assumptions</t>
        </is>
      </c>
    </row>
    <row r="50">
      <c r="C50" t="inlineStr">
        <is>
          <t>Total export shock (mln AMD)</t>
        </is>
      </c>
      <c r="D50">
        <f>4200*D53</f>
        <v/>
      </c>
    </row>
    <row r="51">
      <c r="C51" t="inlineStr">
        <is>
          <t>Export dependency ratio</t>
        </is>
      </c>
      <c r="D51" t="n">
        <v>0.4</v>
      </c>
    </row>
    <row r="52">
      <c r="C52" t="inlineStr">
        <is>
          <t>Supply multiplier</t>
        </is>
      </c>
      <c r="D52" t="n">
        <v>0.7</v>
      </c>
    </row>
    <row r="53">
      <c r="C53" t="inlineStr">
        <is>
          <t>AMD/USD exchange rate</t>
        </is>
      </c>
      <c r="D53" t="n">
        <v>387.5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2026-04-05T16:18:12Z</dcterms:created>
  <dcterms:modified xmlns:dcterms="http://purl.org/dc/terms/" xmlns:xsi="http://www.w3.org/2001/XMLSchema-instance" xsi:type="dcterms:W3CDTF">2026-04-05T16:18:12Z</dcterms:modified>
</cp:coreProperties>
</file>